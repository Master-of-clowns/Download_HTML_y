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results" sheetId="2" r:id="rId6"/>
    <sheet state="visible" name="markup 12.10" sheetId="3" r:id="rId7"/>
    <sheet state="hidden" name="Sheet5" sheetId="4" r:id="rId8"/>
  </sheets>
  <definedNames/>
  <calcPr/>
</workbook>
</file>

<file path=xl/sharedStrings.xml><?xml version="1.0" encoding="utf-8"?>
<sst xmlns="http://schemas.openxmlformats.org/spreadsheetml/2006/main" count="2187" uniqueCount="825">
  <si>
    <t>Статистика по разметке AI-тренеров</t>
  </si>
  <si>
    <t>прокачка от Глеба 12.10</t>
  </si>
  <si>
    <t>Показатель</t>
  </si>
  <si>
    <t>Значение</t>
  </si>
  <si>
    <t>Как считается</t>
  </si>
  <si>
    <t>Число размеченных строк</t>
  </si>
  <si>
    <t>Информация о запросе</t>
  </si>
  <si>
    <t>https://docs.google.com/spreadsheets/d/1HngiYH7XqDmkS6cOoHXfodYLnzb36POfgLcOwnP4Q4E/edit?gid=442452222#gid=442452222</t>
  </si>
  <si>
    <t>Прокачки</t>
  </si>
  <si>
    <t>Разметка AI-тренера</t>
  </si>
  <si>
    <t>Число строк с распознанным вердиктом в J: победа Yandex 04.10, победа Yandex 12.10 или ничья. Сумма B4:B6; пустые и другие значения исключены.</t>
  </si>
  <si>
    <t>Победы Yandex 04.10</t>
  </si>
  <si>
    <t>query</t>
  </si>
  <si>
    <t>region</t>
  </si>
  <si>
    <t>device</t>
  </si>
  <si>
    <t>likbez</t>
  </si>
  <si>
    <t>yandex 04.10</t>
  </si>
  <si>
    <t>yandex 12.10
(codex фолбек)</t>
  </si>
  <si>
    <t>Число вердиктов «Yandex 04.10» в J.</t>
  </si>
  <si>
    <t>Победы Yandex 12.10</t>
  </si>
  <si>
    <t>yandex 12.10
(правильная от Глеба)</t>
  </si>
  <si>
    <t>Число вердиктов «Yandex 12.10» в J.</t>
  </si>
  <si>
    <t>login</t>
  </si>
  <si>
    <t>Ничьи</t>
  </si>
  <si>
    <t>Баг прокачки?</t>
  </si>
  <si>
    <t>Кто выиграл</t>
  </si>
  <si>
    <t>Оценка Yandex 04.10</t>
  </si>
  <si>
    <t>прокачка метриксовая 04.10</t>
  </si>
  <si>
    <t>Оценка Yandex 12.10</t>
  </si>
  <si>
    <t>Поиск сломанный 12.10?</t>
  </si>
  <si>
    <t>Число вердиктов «Ничья» в J.</t>
  </si>
  <si>
    <t>Винрейт Yandex 04.10</t>
  </si>
  <si>
    <t>https://metrics.yandex-team.ru/crons/100698/runs?pageSize=500</t>
  </si>
  <si>
    <t>Проблемы с Youtube</t>
  </si>
  <si>
    <t>Комментарий</t>
  </si>
  <si>
    <t>чем закончится игра в кальмара 3сезон</t>
  </si>
  <si>
    <t>Центральный федеральный округ (3)</t>
  </si>
  <si>
    <t>ANDROID</t>
  </si>
  <si>
    <t>О ЧЕМ ЗАПРОС: Запрос касается возможного завершения 3 сезона южнокорейского сериала «Игра в кальмара» (2021, режиссёр Хван Дон Хёк). Однако на данный момент существует только 1 сезон, и о выходе 3 сезона официальных данных нет.
ОСНОВНОЙ ИНТЕНТ: Посмотреть видео с разбором или предположениями о возможном завершении 3 сезона сериала «Игра в кальмара» (если такие видео существуют).
ВТОРИЧНЫЙ ИНТЕНТ: ['Найти видео с обсуждением финала 1 сезона «Игры в кальмара» (так как 3 сезон не существует).', 'Посмотреть трейлеры, интервью или новости о возможном продолжении сериала.', 'Узнать фанатские теории или спойлеры о развитии сюжета, если бы 3 сезон был снят.']</t>
  </si>
  <si>
    <r>
      <rPr>
        <color rgb="FF1155CC"/>
        <u/>
      </rPr>
      <t>http://vk.com/video-204607807_456241350</t>
    </r>
    <r>
      <rPr/>
      <t xml:space="preserve">
</t>
    </r>
    <r>
      <rPr>
        <color rgb="FF1155CC"/>
        <u/>
      </rPr>
      <t>http://vk.com/video-230704137_456239270</t>
    </r>
    <r>
      <rPr/>
      <t xml:space="preserve">
</t>
    </r>
    <r>
      <rPr>
        <color rgb="FF1155CC"/>
        <u/>
      </rPr>
      <t>http://rutube.ru/video/04af35aae219d8e62d4612c6fb388002/</t>
    </r>
    <r>
      <rPr/>
      <t xml:space="preserve">
http://vk.com/video-183543466_456239026
</t>
    </r>
    <r>
      <rPr>
        <color rgb="FF1155CC"/>
        <u/>
      </rPr>
      <t>http://vk.com/video-230533065_456239079</t>
    </r>
  </si>
  <si>
    <t>(Победы Yandex 04.10 + 0,5 × ничьи) / число распознанных вердиктов J. Шкала 0–1; без вердиктов — «—».</t>
  </si>
  <si>
    <t>Винрейт Yandex 12.10</t>
  </si>
  <si>
    <t>http://vk.com/video-204607807_456241350
http://vk.com/video-230533065_456239079
http://vk.com/video-230704137_456239270
http://vk.com/video-221555815_456239039?t=1m2s
http://rutube.ru/video/04af35aae219d8e62d4612c6fb388002/</t>
  </si>
  <si>
    <t>https://s3.twcstorage.ru/bac33a93-fc8a-445a-b967-41d71601c7a5/videos/20261012T1000Z/prod-browser/0001.html</t>
  </si>
  <si>
    <t>корзинка</t>
  </si>
  <si>
    <t>(Победы Yandex 12.10 + 0,5 × ничьи) / число распознанных вердиктов J. Шкала 0–1; без вердиктов — «—».</t>
  </si>
  <si>
    <t>Средний скор Yandex 04.10</t>
  </si>
  <si>
    <t>https://metrics.yandex-team.ru/baskets/1006903/queries</t>
  </si>
  <si>
    <t>ulyana1993</t>
  </si>
  <si>
    <t>инструкция</t>
  </si>
  <si>
    <t>Среднее целых оценок 1–5 в K; текстовые числа учитываются. Пустые и некорректные оценки исключены. Знаменатель — B11; без оценок — «—».</t>
  </si>
  <si>
    <t>https://wiki.yandex-team.ru/users/dashborisova/srochnyjj-sbs-video/</t>
  </si>
  <si>
    <t>Средний скор Yandex 12.10</t>
  </si>
  <si>
    <t>Нет</t>
  </si>
  <si>
    <t>Ничья</t>
  </si>
  <si>
    <t>Среднее целых оценок 1–5 в L; текстовые числа учитываются. Пустые и некорректные оценки исключены. Знаменатель — B12; без оценок — «—».</t>
  </si>
  <si>
    <t>Число оценок Yandex 04.10</t>
  </si>
  <si>
    <r>
      <rPr>
        <color rgb="FF1155CC"/>
        <u/>
      </rPr>
      <t>http://vk.com/video-204607807_456241350</t>
    </r>
    <r>
      <rPr/>
      <t xml:space="preserve">
</t>
    </r>
    <r>
      <rPr>
        <color rgb="FF1155CC"/>
        <u/>
      </rPr>
      <t>http://vk.com/video-230704137_456239270</t>
    </r>
    <r>
      <rPr/>
      <t xml:space="preserve">
</t>
    </r>
    <r>
      <rPr>
        <color rgb="FF1155CC"/>
        <u/>
      </rPr>
      <t>http://rutube.ru/video/04af35aae219d8e62d4612c6fb388002/</t>
    </r>
    <r>
      <rPr/>
      <t xml:space="preserve">
http://vk.com/video-183543466_456239026
</t>
    </r>
    <r>
      <rPr>
        <color rgb="FF1155CC"/>
        <u/>
      </rPr>
      <t>http://vk.com/video-230533065_456239079</t>
    </r>
  </si>
  <si>
    <t>нет</t>
  </si>
  <si>
    <t>Примерно одинаковые выдачи. Все видео релевантны. Обычные каналы про фильмы.</t>
  </si>
  <si>
    <t>новые видио рыжива ката</t>
  </si>
  <si>
    <t>Калининград (22)</t>
  </si>
  <si>
    <t>DESKTOP</t>
  </si>
  <si>
    <t>О ЧЕМ ЗАПРОС: Пользователь ищет новые видео, связанные с 'рыжива ката'. Точный контекст или значение этого термина неизвестны, возможно, это опечатка или узкоспециализированный запрос.
ОСНОВНОЙ ИНТЕНТ: Найти новые видео, связанные с 'рыжива ката' (возможно, опечатка или специфический термин).
ВТОРИЧНЫЙ ИНТЕНТ: ["Найти видео с похожими или альтернативными названиями, если 'рыжива ката' — опечатка.", "Найти обзоры или поясняющие ролики, если 'рыжива ката' — это термин из какой-либо нишевой тематики."]</t>
  </si>
  <si>
    <t>http://rutube.ru/video/c2876b36f588a97b3691281523e741c2/
http://vk.com/video-94793957_456239348
http://rutube.ru/video/ec22a4dbe25809bcefce70825afe828c/
http://dzen.ru/video/watch/624b53bfef19bb472f2ecc6a
http://rutube.ru/video/4a144ce1312c4f161d8180abef8874af/</t>
  </si>
  <si>
    <t>http://rutube.ru/video/c2876b36f588a97b3691281523e741c2/
http://dzen.ru/video/watch/624211a188bf906bf738250a?f=video
http://www.youtube.com/live/LqbXt8VYesA
http://rutube.ru/video/ec22a4dbe25809bcefce70825afe828c/
http://dzen.ru/video/watch/624b53bfef19bb472f2ecc6a?f=video</t>
  </si>
  <si>
    <t>https://s3.twcstorage.ru/bac33a93-fc8a-445a-b967-41d71601c7a5/videos/20261012T1000Z/prod-browser/0002.html</t>
  </si>
  <si>
    <r>
      <rPr>
        <color rgb="FF1155CC"/>
        <u/>
      </rPr>
      <t>https://vkvideo.ru/@rizhiykottv</t>
    </r>
    <r>
      <rPr/>
      <t xml:space="preserve"> 
Обе выдачи неактуальны. Нет ни одного нового видео. Видео выходят часто. Поэтому актуальность важна (условно не старше 2 месяцев, в идеале месяц). </t>
    </r>
  </si>
  <si>
    <t>torbakhov</t>
  </si>
  <si>
    <t>дай мне посмотреть</t>
  </si>
  <si>
    <t>Южный федеральный округ (26)</t>
  </si>
  <si>
    <t>Число корректных целых оценок 1–5 в K, включая текстовые числа. Считается независимо от заполненности вердикта J.</t>
  </si>
  <si>
    <t>Число оценок Yandex 12.10</t>
  </si>
  <si>
    <t>О ЧЕМ ЗАПРОС: Запрос связан с поиском видео, содержащего трек «Дай мне посмотреть» (Let Me See) от Bushido Zho и Heronwater, выпущенный в 2023 году.
ОСНОВНОЙ ИНТЕНТ: Найти видео с треком «Дай мне посмотреть» (Let Me See) для прослушивания или просмотра клипа.
ВТОРИЧНЫЙ ИНТЕНТ: ['Посмотреть клип или музыкальное видео на этот трек, если оно существует.', 'Найти живые выступления или каверы на этот трек.', 'Узнать больше о Bushido Zho и Heronwater, связанные с этим треком.']</t>
  </si>
  <si>
    <t>http://vk.com/video-72480135_456243902
http://rutube.ru/video/9e1e658128f40e84149208c8d9e46edb/
http://rutube.ru/video/73f4445ba26940a326ba6168e2bc1340/
http://www.youtube.com/watch?v=cyOzFg4W-Io
http://rutube.ru/video/37232fee4e5a3048ee37919c04de81ea/</t>
  </si>
  <si>
    <t>http://vk.com/video-72480135_456243902
http://rutube.ru/video/9e1e658128f40e84149208c8d9e46edb/
http://rutube.ru/video/73f4445ba26940a326ba6168e2bc1340/
http://rutube.ru/video/37232fee4e5a3048ee37919c04de81ea/
http://www.youtube.com/watch?v=cyOzFg4W-Io</t>
  </si>
  <si>
    <t>https://s3.twcstorage.ru/bac33a93-fc8a-445a-b967-41d71601c7a5/videos/20261012T1000Z/prod-browser/0003.html</t>
  </si>
  <si>
    <t>abrelis</t>
  </si>
  <si>
    <t>только 04.10</t>
  </si>
  <si>
    <t>Обе выдачи хорошо решают ОИ, у левого дефект - лишний ютуб, у правого - неподходящий источник на В5 (мобильные игры)</t>
  </si>
  <si>
    <t>зубарев</t>
  </si>
  <si>
    <t>Тула (15)</t>
  </si>
  <si>
    <t>О ЧЕМ ЗАПРОС: Запрос относится к Александру Зубареву — видеоблогеру, тиктокеру и стримеру, известному своими роликами о жизни в Китае, местной культуре и быте. Он также участвовал в различных шоу и снимается в кино.
ОСНОВНОЙ ИНТЕНТ: Найти видео с Александром Зубаревым: его блоги, стримы, выступления в шоу или ролики о жизни в Китае.
ВТОРИЧНЫЙ ИНТЕНТ: ['Посмотреть интервью или участия Зубарева в шоу (например, «Плюшки», «Вопрос ребром»).', 'Узнать о его личной жизни или творческих проектах (например, фильм «Скуф»).', 'Найти контент, связанный с культурой и бытом Китая, в его подаче.']</t>
  </si>
  <si>
    <t>http://vk.com/video-218668913_456242236
http://vk.com/video-218668913_456242235
http://vk.com/video-218668913_456242143
http://vk.com/video-218668913_456242140
http://vk.com/video-218668913_456242109</t>
  </si>
  <si>
    <t>Число корректных целых оценок 1–5 в L, включая текстовые числа. Считается независимо от заполненности вердикта J.</t>
  </si>
  <si>
    <t>http://vk.com/video-218668913_456242239
http://vk.com/video-218668913_456242109
http://vk.com/video-218668913_456242080?t=1h28m16s
http://vk.com/video-218668913_456242000?t=29m
http://vk.com/video-218668913_456242206</t>
  </si>
  <si>
    <t>Сломанные выдачи Yandex 12.10</t>
  </si>
  <si>
    <t>https://s3.twcstorage.ru/bac33a93-fc8a-445a-b967-41d71601c7a5/videos/20261012T1000Z/prod-browser/0004.html</t>
  </si>
  <si>
    <t>Число ответов «Да» в M — Yandex 12.10 признан сломанным.</t>
  </si>
  <si>
    <t>Выдачи с оценкой поломки</t>
  </si>
  <si>
    <t>Число ответов «Да» или «Нет» в M. Пустые и другие значения исключены; знаменатель доли поломок.</t>
  </si>
  <si>
    <t>Доля сломанных выдач Yandex 12.10</t>
  </si>
  <si>
    <t>Обе выдачи решают ОИ на каждой странице на рел+ от официального источника</t>
  </si>
  <si>
    <t>B13 / B14: число «Да» в M / число ответов «Да» или «Нет» в M. Пустой ответ не означает «Нет»; без ответов — «—».</t>
  </si>
  <si>
    <t>купить подарки аватария</t>
  </si>
  <si>
    <t>Самара (51)</t>
  </si>
  <si>
    <t>IPHONE</t>
  </si>
  <si>
    <t>Проблемы с YouTube</t>
  </si>
  <si>
    <t>О ЧЕМ ЗАПРОС: Запрос связан с поиском способов приобретения виртуальных подарков для игры «Аватария». Пользователь, вероятно, хочет найти магазины или сервисы, где можно купить внутриигровые подарки.
ОСНОВНОЙ ИНТЕНТ: Найти видео с обзором или инструкцией, как и где купить подарки в игре «Аватария».
ВТОРИЧНЫЙ ИНТЕНТ: ['Посмотреть видео о том, как работают магазины подарков в «Аватарии» (например, обзор Telegram-каналов или сайтов).', 'Узнать о промокодах или акциях, связанных с подарками в игре, через видео-контент.', 'Найти видео с отзывами или рекомендациями о покупке подарков в «Аватарии».']</t>
  </si>
  <si>
    <t>Число ответов о YouTube</t>
  </si>
  <si>
    <r>
      <rPr/>
      <t xml:space="preserve">http://www.youtube.com/watch?v=VXBPHLKT9As
http://vk.com/video259774504_170309764
http://rutube.ru/video/250cc3ceee249580d71fe74f3aed1f40/
http://rutube.ru/video/f955d02e079c8eb02f89df572d7e1ac7/
</t>
    </r>
    <r>
      <rPr>
        <color rgb="FF1155CC"/>
        <u/>
      </rPr>
      <t>http://www.youtube.com/watch?v=RW9agLLSlDo</t>
    </r>
  </si>
  <si>
    <t>Число ответов из четырёх вариантов в N; пустые и другие значения исключены. Независимо от вердикта J.</t>
  </si>
  <si>
    <t>Нет проблем</t>
  </si>
  <si>
    <t>Число ответов «нет» в N.</t>
  </si>
  <si>
    <t>Проблемы только 04.10</t>
  </si>
  <si>
    <t>http://ok.ru/video/300231820554
http://vk.com/video259774504_170309764
http://rutube.ru/video/f955d02e079c8eb02f89df572d7e1ac7/
http://rutube.ru/video/21a7a321273cae9cff9cde666c749a5e/
http://rutube.ru/video/f91297d27935232b23915de167a27bad/</t>
  </si>
  <si>
    <t>https://s3.twcstorage.ru/bac33a93-fc8a-445a-b967-41d71601c7a5/videos/20261012T1000Z/prod-browser/0005.html</t>
  </si>
  <si>
    <t>Число ответов «только 04.10» в N.</t>
  </si>
  <si>
    <t>Проблемы только 12.10</t>
  </si>
  <si>
    <t>Число ответов «только 12.10» в N.</t>
  </si>
  <si>
    <t>Проблемы у обоих серпов</t>
  </si>
  <si>
    <t>Число ответов «у обоих серпов» в N.</t>
  </si>
  <si>
    <t>Доля проблем: Yandex 04.10</t>
  </si>
  <si>
    <t>vlodster</t>
  </si>
  <si>
    <t>Yandex 12.10</t>
  </si>
  <si>
    <t>у обоих серпов</t>
  </si>
  <si>
    <t>Практически схожие выдачи, но у Новой в топ-1 имеется видеоролик с ОК, в то время как у старой с Ютуба (что, по сути, является серьезным дефектом) -&gt; победа новой (проблемы с ютубом имеются у обоих серпов)</t>
  </si>
  <si>
    <t>(Только 04.10 + у обоих серпов) / число ответов B19. Шкала 0–1; без ответов — «—».</t>
  </si>
  <si>
    <t>Доля проблем: Yandex 12.10</t>
  </si>
  <si>
    <t>можно ли использовать аккаунт huawei в смартфоне другой м</t>
  </si>
  <si>
    <t>Санкт-Петербург (2)</t>
  </si>
  <si>
    <t xml:space="preserve">О чем запрос:  можно ли использовать аккаунт huawei в смартфоне другой м
Основной интент: видео с ответом на вопрос                         
Вторичный интент: </t>
  </si>
  <si>
    <t>(Только 12.10 + у обоих серпов) / число ответов B19. Шкала 0–1; без ответов — «—».</t>
  </si>
  <si>
    <t>Доля с любой проблемой</t>
  </si>
  <si>
    <r>
      <rPr/>
      <t xml:space="preserve">http://rutube.ru/video/81d60d10e5596fce891dc0474fabbd71/
</t>
    </r>
    <r>
      <rPr>
        <color rgb="FF1155CC"/>
        <u/>
      </rPr>
      <t>http://www.youtube.com/watch?v=Mfz6VRYHHdE</t>
    </r>
    <r>
      <rPr/>
      <t xml:space="preserve">
http://rutube.ru/video/931e2713bbe731a14492c57b09c48104/
http://rutube.ru/video/5d20139a600cb7ead11ee4c202f0a620/
</t>
    </r>
    <r>
      <rPr>
        <color rgb="FF1155CC"/>
        <u/>
      </rPr>
      <t>http://rutube.ru/video/1b0c08b131e5b45de43ed77bc8cde168/</t>
    </r>
  </si>
  <si>
    <r>
      <rPr/>
      <t xml:space="preserve">http://www.youtube.com/watch?v=VXBPHLKT9As
http://vk.com/video259774504_170309764
http://rutube.ru/video/250cc3ceee249580d71fe74f3aed1f40/
http://rutube.ru/video/f955d02e079c8eb02f89df572d7e1ac7/
</t>
    </r>
    <r>
      <rPr>
        <color rgb="FF1155CC"/>
        <u/>
      </rPr>
      <t>http://www.youtube.com/watch?v=RW9agLLSlDo</t>
    </r>
  </si>
  <si>
    <t>(Только 04.10 + только 12.10 + у обоих серпов) / B19. Пустой ответ не означает «нет»; без ответов — «—».</t>
  </si>
  <si>
    <t>http://rutube.ru/video/81d60d10e5596fce891dc0474fabbd71/
http://www.youtube.com/watch?v=Mfz6VRYHHdE
http://rutube.ru/video/931e2713bbe731a14492c57b09c48104/
http://www.youtube.com/watch?v=OUEqho-PC94
http://rutube.ru/video/1b0c08b131e5b45de43ed77bc8cde168/</t>
  </si>
  <si>
    <t>https://s3.twcstorage.ru/bac33a93-fc8a-445a-b967-41d71601c7a5/videos/20261012T1000Z/prod-browser/0006.html</t>
  </si>
  <si>
    <t>vetervi</t>
  </si>
  <si>
    <t>Выдачи почти не различаются, ответа на запрос нет ни там ни там</t>
  </si>
  <si>
    <t>кто тебе это сказал виа караоке</t>
  </si>
  <si>
    <t>Уфа (172)</t>
  </si>
  <si>
    <t>О ЧЕМ ЗАПРОС: Запрос связан с поиском видео караоке-версии песни «Кто тебе сказал» в исполнении ВИА «Лейся, песня!».
ОСНОВНОЙ ИНТЕНТ: Найти видео с караоке-версией песни «Кто тебе сказал» ВИА «Лейся, песня!» для прослушивания или исполнения.
ВТОРИЧНЫЙ ИНТЕНТ: ['Посмотреть оригинальное исполнение песни «Кто тебе сказал» ВИА «Лейся, песня!»', 'Найти другие караоке-версии песен ВИА «Лейся, песня!»', 'Узнать больше о творчестве ВИА «Лейся, песня!»']</t>
  </si>
  <si>
    <r>
      <rPr/>
      <t xml:space="preserve">http://vk.com/video196636529_164786278
http://frontend.vh.yandex.ru/player/667133967721590459
http://dzen.ru/video/watch/67f9f7b5a20dcb12bd88d423
http://vk.com/video12678771_169900608
</t>
    </r>
    <r>
      <rPr>
        <color rgb="FF1155CC"/>
        <u/>
      </rPr>
      <t>http://vk.com/video-230180722_456239692</t>
    </r>
  </si>
  <si>
    <r>
      <rPr/>
      <t xml:space="preserve">http://rutube.ru/video/81d60d10e5596fce891dc0474fabbd71/
</t>
    </r>
    <r>
      <rPr>
        <color rgb="FF1155CC"/>
        <u/>
      </rPr>
      <t>http://www.youtube.com/watch?v=Mfz6VRYHHdE</t>
    </r>
    <r>
      <rPr/>
      <t xml:space="preserve">
http://rutube.ru/video/931e2713bbe731a14492c57b09c48104/
http://rutube.ru/video/5d20139a600cb7ead11ee4c202f0a620/
</t>
    </r>
    <r>
      <rPr>
        <color rgb="FF1155CC"/>
        <u/>
      </rPr>
      <t>http://rutube.ru/video/1b0c08b131e5b45de43ed77bc8cde168/</t>
    </r>
  </si>
  <si>
    <t>http://vk.com/video196636529_164786278
http://dzen.ru/video/watch/67f9f7b5a20dcb12bd88d423?f=video
http://vk.com/video12678771_169900608
http://ok.ru/video/6942623140382
http://vk.com/video-228910649_456239064</t>
  </si>
  <si>
    <t>https://s3.twcstorage.ru/bac33a93-fc8a-445a-b967-41d71601c7a5/videos/20261012T1000Z/prod-browser/0007.html</t>
  </si>
  <si>
    <t>только 12.10</t>
  </si>
  <si>
    <t>В старом одно видео не караоке, ещё одно удалено, три по теме. В новом: три караоке под минус, одно под плюс, одно недоступно (ютуб).</t>
  </si>
  <si>
    <t>audi lucky blocks моды из ярика лапы</t>
  </si>
  <si>
    <t>Городской округ Орехово-Зуево (120990)</t>
  </si>
  <si>
    <t>О ЧЕМ ЗАПРОС: Запрос связан с модами для игры Minecraft, в частности с модификацией Lucky Blocks, которая добавляет в игру блоки удачи с различными случайными событиями. Возможно, пользователь ищет видео, связанные с установкой, обзором или геймплеем этих модов.
ОСНОВНОЙ ИНТЕНТ: Найти видео, связанные с модом Lucky Blocks для Minecraft, возможно, обзоры, геймплей или инструкции по установке.
ВТОРИЧНЫЙ ИНТЕНТ: ["Посмотреть видео с геймплеем мода Youtuber's Lucky Blocks", 'Найти обзоры на различные версии мода Lucky Blocks', 'Узнать, как установить мод Lucky Blocks в Minecraft']</t>
  </si>
  <si>
    <t>http://www.youtube.com/watch?v=aPz3zIvFBPc
http://www.youtube.com/watch?v=uSqLKqQ3vTk
http://www.youtube.com/watch?v=eycc9z70ciE
http://www.youtube.com/watch?v=01CsB3CtdCQ
http://www.youtube.com/watch?v=eIxvuT3NIjk</t>
  </si>
  <si>
    <t>http://ok.ru/video/7344227727
http://www.youtube.com/watch?v=uSqLKqQ3vTk
http://www.youtube.com/v/eycc9z70ciE
http://rutube.ru/video/fea9edaf076511a4696f05ba61a75b10/
http://vk.com/video-167803761_456240156</t>
  </si>
  <si>
    <t>https://s3.twcstorage.ru/bac33a93-fc8a-445a-b967-41d71601c7a5/videos/20261012T1000Z/prod-browser/0008.html</t>
  </si>
  <si>
    <r>
      <rPr/>
      <t xml:space="preserve">http://vk.com/video196636529_164786278
http://frontend.vh.yandex.ru/player/667133967721590459
http://dzen.ru/video/watch/67f9f7b5a20dcb12bd88d423
http://vk.com/video12678771_169900608
</t>
    </r>
    <r>
      <rPr>
        <color rgb="FF1155CC"/>
        <u/>
      </rPr>
      <t>http://vk.com/video-230180722_456239692</t>
    </r>
  </si>
  <si>
    <t>Не особо понятно, что требуется пользователю из-за слова "audi". В остальном на обоих серпах представлены обзоры/игры с лаки блоками от Ярика Лапы. Имеется минорный плюс в сторону новой выдачи - имеется материал с доступных платформ (но они также решают ВИ, так как упоминания "audi" нигде не найдено) -&gt; ничья. Если же опираться на ликбез, то оба серпа решают ОИ, но у новой выдачи больше материала из доступных без впн источников</t>
  </si>
  <si>
    <t>разбили китайца, моя жизнь изменится навсегда - 11 часть</t>
  </si>
  <si>
    <t>Россия (225)</t>
  </si>
  <si>
    <t>О ЧЕМ ЗАПРОС: Пользователь ищет 11-ю часть видео, связанного с событием или историей под названием «Разбили китайца, моя жизнь изменится навсегда». Контекст запроса указывает на то, что это может быть серия из какого-то веб-сериала, блог-поста или документального рассказа, где описывается значимое событие в жизни автора или героя.
ОСНОВНОЙ ИНТЕНТ: Найти и посмотреть 11-ю часть видео «Разбили китайца, моя жизнь изменится навсегда».
ВТОРИЧНЫЙ ИНТЕНТ: ['Узнать больше о предыдущих или последующих частях этого видео (если таковые существуют).', 'Понять контекст или содержание всей серии, чтобы разобраться в сюжете.']</t>
  </si>
  <si>
    <r>
      <rPr>
        <color rgb="FF1155CC"/>
        <u/>
      </rPr>
      <t>http://vk.com/video-228882965_456239324</t>
    </r>
    <r>
      <rPr/>
      <t xml:space="preserve">
http://www.youtube.com/watch?v=e1kxgk_So6I
http://vk.com/video-231407633_456239148
http://www.youtube.com/watch?v=mifsbG7BxPE
http://www.youtube.com/watch?v=qks3ZPoag9o</t>
    </r>
  </si>
  <si>
    <t>http://vk.com/video-228882965_456239324
http://www.youtube.com/watch?v=e1kxgk_So6I
http://vk.com/video-231407633_456239148
http://www.youtube.com/watch?v=mifsbG7BxPE
http://www.youtube.com/watch?v=qks3ZPoag9o</t>
  </si>
  <si>
    <t>https://s3.twcstorage.ru/bac33a93-fc8a-445a-b967-41d71601c7a5/videos/20261012T1000Z/prod-browser/0009.html</t>
  </si>
  <si>
    <t>abraamian</t>
  </si>
  <si>
    <t>Выдачи полностью идентичны</t>
  </si>
  <si>
    <t>джигеротта грешница</t>
  </si>
  <si>
    <t>Кострома (7)</t>
  </si>
  <si>
    <t>О ЧЕМ ЗАПРОС: Запрос посвящён персонажу Джиггероте Грешнице из сериала «Лексс» (1997–2002), её роли в сюжете и ключевым моментам появления в сериале.
ОСНОВНОЙ ИНТЕНТ: Найти видео с участием Джиггероты Грешницы в сериале «Лексс» (эпизоды, сцены, моменты с её участием).
ВТОРИЧНЫЙ ИНТЕНТ: ['Посмотреть обзоры или анализ персонажа Джиггероты (например, её влияние на сюжет, особенности поведения).', 'Узнать больше об актрисе Эллен Дубин и её работе над ролью (интервью, закулисные материалы).', 'Найти трейлеры или фрагменты сериала «Лексс», где фигурирует Джиггерота.']</t>
  </si>
  <si>
    <r>
      <rPr>
        <color rgb="FF1155CC"/>
        <u/>
      </rPr>
      <t>http://vk.com/video-228882965_456239324</t>
    </r>
    <r>
      <rPr/>
      <t xml:space="preserve">
http://www.youtube.com/watch?v=e1kxgk_So6I
http://vk.com/video-231407633_456239148
http://www.youtube.com/watch?v=mifsbG7BxPE
http://www.youtube.com/watch?v=qks3ZPoag9o</t>
    </r>
  </si>
  <si>
    <r>
      <rPr/>
      <t xml:space="preserve">http://vk.com/video-199593765_456239465
http://frontend.vh.yandex.ru/player/14776031637197486904
http://vk.com/video-223305396_456241835
http://ok.ru/video/3654212061847
</t>
    </r>
    <r>
      <rPr>
        <color rgb="FF1155CC"/>
        <u/>
      </rPr>
      <t>http://vk.com/video-210434675_456246525</t>
    </r>
  </si>
  <si>
    <t>http://vk.com/video-199593765_456239465
https://www.kinopoisk.ru/film/1004780/#!watch-film/454e832f2e21fedaba9d06da71a326f4/kp
http://vk.com/video-210434675_456246530
http://ok.ru/video/10819224275465
http://vk.com/video-223305396_456242110</t>
  </si>
  <si>
    <t>https://s3.twcstorage.ru/bac33a93-fc8a-445a-b967-41d71601c7a5/videos/20261012T1000Z/prod-browser/0010.html</t>
  </si>
  <si>
    <t>latushinskaya</t>
  </si>
  <si>
    <t>Да</t>
  </si>
  <si>
    <t>В обеих выдачах нерел. (совершенно другой сериал)</t>
  </si>
  <si>
    <t>геннадий синицын маньяк</t>
  </si>
  <si>
    <t>Рязань (11)</t>
  </si>
  <si>
    <t>О ЧЕМ ЗАПРОС: Запрос касается Геннадия Синицына, серийного маньяка из Волгограда, обвиняемого в серии изнасилований и убийств в прошлом. Он был осужден, но позже срок заменили на 15 лет колонии, после чего он вышел на свободу.
ОСНОВНОЙ ИНТЕНТ: Найти видео о Геннадии Синицыне, его преступлениях, суде и последующем освобождении (документальные фильмы, репортажи, интервью).
ВТОРИЧНЫЙ ИНТЕНТ: ['Посмотреть криминальные анализы или расследования его дела.', 'Узнать о реакции общества и СМИ на его преступления и освобождение.', 'Найти интервью с жертвами, свидетелями или экспертами по этому делу.']</t>
  </si>
  <si>
    <r>
      <rPr/>
      <t xml:space="preserve">http://vk.com/video-199593765_456239465
http://frontend.vh.yandex.ru/player/14776031637197486904
http://vk.com/video-223305396_456241835
http://ok.ru/video/3654212061847
</t>
    </r>
    <r>
      <rPr>
        <color rgb="FF1155CC"/>
        <u/>
      </rPr>
      <t>http://vk.com/video-210434675_456246525</t>
    </r>
  </si>
  <si>
    <r>
      <rPr/>
      <t xml:space="preserve">http://www.ntv.ru/video/1203901/
http://vk.com/video-241323927_456239081
http://vk.com/video-219784382_456240669
http://vk.com/video-5567185_456240160
</t>
    </r>
    <r>
      <rPr>
        <color rgb="FF1155CC"/>
        <u/>
      </rPr>
      <t>http://video.mail.ru/internet.ru/stefani99/video/_myvideo/162.html</t>
    </r>
  </si>
  <si>
    <t>http://www.youtube.com/watch?v=FUKSby2Tf_Q
http://vk.com/video-5567185_456240160
http://ok.ru/video/6960501035437
http://rutube.ru/video/0a3da6bbc6a242928cde91f99b2d0151/
http://vk.com/video-229113309_456239096</t>
  </si>
  <si>
    <t>https://s3.twcstorage.ru/bac33a93-fc8a-445a-b967-41d71601c7a5/videos/20261012T1000Z/prod-browser/0011.html</t>
  </si>
  <si>
    <r>
      <rPr/>
      <t xml:space="preserve">http://www.ntv.ru/video/1203901/
http://vk.com/video-241323927_456239081
http://vk.com/video-219784382_456240669
http://vk.com/video-5567185_456240160
</t>
    </r>
    <r>
      <rPr>
        <color rgb="FF1155CC"/>
        <u/>
      </rPr>
      <t>http://video.mail.ru/internet.ru/stefani99/video/_myvideo/162.html</t>
    </r>
  </si>
  <si>
    <t xml:space="preserve">Вероятно, П перепутал фамилию маньяка. В старой выдаче 1 видео недоступно, в новой на 4 позиции очень плохой нерел. (не назвать шокирующим, но есть мат). Ничья, т.к. дефекты сопоставимы, а интент не решен в обеих выдачах. </t>
  </si>
  <si>
    <t>как узнать что порвана подушка двигателя лексус джи эс 300 2006</t>
  </si>
  <si>
    <t>Астрахань (37)</t>
  </si>
  <si>
    <t>О ЧЕМ ЗАПРОС: Запрос касается диагностики неисправности подушек двигателя в автомобиле Lexus GS 300 2006 года. Пользователь хочет узнать признаки, указывающие на повреждение подушек двигателя.
ОСНОВНОЙ ИНТЕНТ: Найти видео с инструкцией или объяснением, как определить, что подушка двигателя Lexus GS 300 2006 года порвана.
ВТОРИЧНЫЙ ИНТЕНТ: ['Посмотреть видео с обзором общих признаков неисправности подушек двигателя в автомобилях.', 'Найти видео с демонстрацией замены подушек двигателя на Lexus GS 300.', 'Посмотреть видео с советами по диагностике автомобильных неисправностей своими руками.']</t>
  </si>
  <si>
    <t/>
  </si>
  <si>
    <t>https://s3.twcstorage.ru/bac33a93-fc8a-445a-b967-41d71601c7a5/videos/20261012T1000Z/prod-browser/0012.html</t>
  </si>
  <si>
    <t>vliseev</t>
  </si>
  <si>
    <t>трахает зрелую в жопу</t>
  </si>
  <si>
    <t>Москва (213)</t>
  </si>
  <si>
    <t>О ЧЕМ ЗАПРОС: Запрос связан с поиском видео порнографического содержания, где демонстрируется анальный секс со зрелыми женщинами. Контент предназначен исключительно для взрослой аудитории.
ОСНОВНОЙ ИНТЕНТ: Найти видео с анальным сексом, где участвуют зрелые женщины.
ВТОРИЧНЫЙ ИНТЕНТ: ['Посмотреть альтернативные видео с похожим содержанием (например, с другими участниками или в других жанрах).', 'Найти сайты или платформы, специализирующиеся на подобном контенте.']</t>
  </si>
  <si>
    <r>
      <rPr/>
      <t xml:space="preserve">http://xxx.spreee.info/1015120/
http://noodlemagazine.com/watch/-108701372_456239686
http://w.semyana.com/13073/
http://ukdevilz.com/watch/-64546365_456240203
</t>
    </r>
    <r>
      <rPr>
        <color rgb="FF1155CC"/>
        <u/>
      </rPr>
      <t>http://noodlemagazine.net/watch/-98133272_456239039</t>
    </r>
  </si>
  <si>
    <t>http://w.semyana.com/13073/
http://noodlemagazine.com/watch/-108701372_456239686
http://prostoporno.tube/videos/222902/
http://noodlemagazine.net/watch/-98133272_456239039
http://xxx.spreee.pro/1015120/</t>
  </si>
  <si>
    <t>https://s3.twcstorage.ru/bac33a93-fc8a-445a-b967-41d71601c7a5/videos/20261012T1000Z/prod-browser/0013.html</t>
  </si>
  <si>
    <r>
      <rPr/>
      <t xml:space="preserve">http://xxx.spreee.info/1015120/
http://noodlemagazine.com/watch/-108701372_456239686
http://w.semyana.com/13073/
http://ukdevilz.com/watch/-64546365_456240203
</t>
    </r>
    <r>
      <rPr>
        <color rgb="FF1155CC"/>
        <u/>
      </rPr>
      <t>http://noodlemagazine.net/watch/-98133272_456239039</t>
    </r>
  </si>
  <si>
    <t xml:space="preserve">В старой выдаче 1 и 3 ролики недоступны, поэтому побеждает новая выдача с доступным контентом, который релевантен. </t>
  </si>
  <si>
    <t>при какой максимальной температуре воздуха может работать сварщик</t>
  </si>
  <si>
    <t>Вешки (117530)</t>
  </si>
  <si>
    <t>О ЧЕМ ЗАПРОС: Запрос касается допустимых температурных условий для работы сварщиков, включая верхние пределы температуры в зависимости от категории работ и требования к экипировке при минусовых температурах.
ОСНОВНОЙ ИНТЕНТ: Найти видео с объяснением допустимых температурных условий для работы сварщиков, включая нормы СанПиН и рекомендации по работе в экстремальных условиях.
ВТОРИЧНЫЙ ИНТЕНТ: ['Посмотреть видео о влиянии температуры на качество сварки и безопасность работ.', 'Найти обзоры на специальную экипировку для сварщиков, работающих в условиях высоких или низких температур.', 'Узнать о дополнительных нормах и правилах работы сварщиков в разных климатических условиях.']</t>
  </si>
  <si>
    <r>
      <rPr/>
      <t xml:space="preserve">http://vk.com/video-48769008_456254702
http://vk.com/video-59252263_456239545
http://vk.com/video-33526971_456239318
http://rutube.ru/video/c77bb4c8bceb77226b8fbfbbce1feed5/
</t>
    </r>
    <r>
      <rPr>
        <color rgb="FF1155CC"/>
        <u/>
      </rPr>
      <t>http://www.youtube.com/watch?v=gNIGIXN7AiQ</t>
    </r>
  </si>
  <si>
    <t>http://vk.com/video-48769008_456254702
http://vk.com/video-59252263_456239545
http://rutube.ru/video/c77bb4c8bceb77226b8fbfbbce1feed5/
http://www.youtube.com/watch?v=YwZ0BUMNe18
http://ok.ru/group/53881056133266/topic/154845638337938</t>
  </si>
  <si>
    <t>https://s3.twcstorage.ru/bac33a93-fc8a-445a-b967-41d71601c7a5/videos/20261012T1000Z/prod-browser/0014.html</t>
  </si>
  <si>
    <r>
      <rPr/>
      <t xml:space="preserve">http://vk.com/video-48769008_456254702
http://vk.com/video-59252263_456239545
http://vk.com/video-33526971_456239318
http://rutube.ru/video/c77bb4c8bceb77226b8fbfbbce1feed5/
</t>
    </r>
    <r>
      <rPr>
        <color rgb="FF1155CC"/>
        <u/>
      </rPr>
      <t>http://www.youtube.com/watch?v=gNIGIXN7AiQ</t>
    </r>
  </si>
  <si>
    <t>Yandex 04.10</t>
  </si>
  <si>
    <t xml:space="preserve">В обеих выдачах по 1 ссылке на «Ютуб» (в старой  тот же контент на «Рутуб», что в правой, но есть другая ссылка на «Ютуб»). Также в старой ютуб-видео ранжировано ниже. 
= слабая победа старой. 
</t>
  </si>
  <si>
    <t>штребух teil 735</t>
  </si>
  <si>
    <t>Оренбург (48)</t>
  </si>
  <si>
    <t>О ЧЕМ ЗАПРОС: Запрос, вероятно, связан с контентом автора YouTube-канала ШТРЭБУХ, который специализируется на видео о находках на помойках. Возможно, пользователь ищет конкретное видео или серию (teil 735), но точной информации об этом нет.
ОСНОВНОЙ ИНТЕНТ: Найти видео с YouTube-канала ШТРЭБУХ, возможно, конкретный ролик или серию под номером 735.
ВТОРИЧНЫЙ ИНТЕНТ: ['Познакомиться с контентом канала ШТРЭБУХ (обзоры находок, тематические видео)', 'Узнать больше о деятельности автора (например, его соцсети, другие платформы)', 'Найти похожие каналы или видео о находках на помойках']</t>
  </si>
  <si>
    <r>
      <rPr/>
      <t xml:space="preserve">http://vk.com/video-186634019_456239472
http://www.youtube.com/watch?v=GXNMhnTdLgQ
http://vk.com/video-186634019_456239469
http://www.youtube.com/watch?v=AglfmoQkxkE
</t>
    </r>
    <r>
      <rPr>
        <color rgb="FF1155CC"/>
        <u/>
      </rPr>
      <t>http://rutube.ru/video/515382309cb0bf760fa9f1ca67e6af3b/</t>
    </r>
  </si>
  <si>
    <t>http://ok.ru/video/5414071831282
http://vk.com/video-186634019_456239472?t=4m14s
http://vk.com/video-186634019_456239469?t=22m2s
http://rutube.ru/video/b1458c6257b71c872c5290239497255b/
http://www.youtube.com/watch?v=AglfmoQkxkE</t>
  </si>
  <si>
    <t>https://s3.twcstorage.ru/bac33a93-fc8a-445a-b967-41d71601c7a5/videos/20261012T1000Z/prod-browser/0015.html</t>
  </si>
  <si>
    <r>
      <rPr/>
      <t xml:space="preserve">http://vk.com/video-186634019_456239472
http://www.youtube.com/watch?v=GXNMhnTdLgQ
http://vk.com/video-186634019_456239469
http://www.youtube.com/watch?v=AglfmoQkxkE
</t>
    </r>
    <r>
      <rPr>
        <color rgb="FF1155CC"/>
        <u/>
      </rPr>
      <t>http://rutube.ru/video/515382309cb0bf760fa9f1ca67e6af3b/</t>
    </r>
  </si>
  <si>
    <t xml:space="preserve">Победа новой выдаче, т.к. в старой 2 ролика недоступны («ютуб»). Оценка снижена, т.к. контент не самый свежий.  </t>
  </si>
  <si>
    <t>игра в кальмара прон тг</t>
  </si>
  <si>
    <t>Солоновка (124100)</t>
  </si>
  <si>
    <t>О ЧЕМ ЗАПРОС: Пользователь ищет видео с материалами сексуального характера (порнографического содержания), связанными с сериалом 'Игра в кальмара'. Запрос предполагает, что контент может быть размещен в Telegram или других платформах.
ОСНОВНОЙ ИНТЕНТ: Найти порнографические видео, вдохновленные сериалом 'Игра в кальмара' или содержащие его тематику.
ВТОРИЧНЫЙ ИНТЕНТ: ['Посмотреть обсуждения или разборы подобного контента (например, статьи или видео-анализ)', 'Найти ссылки на Telegram-каналы или другие платформы с подобными материалами', 'Узнать, существуют ли пародии или альтернативные версии сцен из сериала в подобном жанре']</t>
  </si>
  <si>
    <r>
      <rPr/>
      <t xml:space="preserve">http://vk.com/video-233390603_456239048
http://noodlemagazine.com/watch/-147349603_456240466
http://vk.com/video-226566159_456240834
http://vk.com/video714385897_456239055
</t>
    </r>
    <r>
      <rPr>
        <color rgb="FF1155CC"/>
        <u/>
      </rPr>
      <t>http://ukdevilz.com/watch/-202072667_456239792</t>
    </r>
  </si>
  <si>
    <t>http://vk.com/video-233390603_456239048
http://noodlemagazine.com/watch/-147349603_456240466
http://vk.com/video-226566159_456240834
http://vk.com/video-194563110_456239575
http://ukdevilz.com/watch/-202072667_456239792</t>
  </si>
  <si>
    <t>https://s3.twcstorage.ru/bac33a93-fc8a-445a-b967-41d71601c7a5/videos/20261012T1000Z/prod-browser/0016.html</t>
  </si>
  <si>
    <r>
      <rPr/>
      <t xml:space="preserve">http://vk.com/video-233390603_456239048
http://noodlemagazine.com/watch/-147349603_456240466
http://vk.com/video-226566159_456240834
http://vk.com/video714385897_456239055
</t>
    </r>
    <r>
      <rPr>
        <color rgb="FF1155CC"/>
        <u/>
      </rPr>
      <t>http://ukdevilz.com/watch/-202072667_456239792</t>
    </r>
  </si>
  <si>
    <t>Ничья, т.к. нет явных преимуществ какой-либо из выдач: в обеих ролики релевантны и доступны</t>
  </si>
  <si>
    <t>врестболл</t>
  </si>
  <si>
    <t>Махачкала (28)</t>
  </si>
  <si>
    <t>О ЧЕМ ЗАПРОС: Запрос касается игры «врестболл» (wrestball) — гибрида баскетбола и борьбы, где участники зарабатывают очки как за забитые мячи, так и за успешные приёмы борьбы. Игра проходит в три тайма по 10 минут, с возможностью досрочного завершения при наборе 16 очков. Игроки используют защитную экипировку из-за высокой травмоопасности.
ОСНОВНОЙ ИНТЕНТ: Найти видео с правилами, демонстрацией или матчами по врестболлу.
ВТОРИЧНЫЙ ИНТЕНТ: ['Посмотреть обучающие видео по технике игры или борьбы в врестболе.', 'Узнать о защитной экипировке для врестбола и её использовании.', 'Найти записи соревнований или турниров по врестболлу.']</t>
  </si>
  <si>
    <t>http://www.youtube.com/watch?v=-KHPd6fqyM4
http://vk.com/video-118873_456249302
http://dzen.ru/video/watch/695d479ce3db5c60611537dd
http://www.youtube.com/watch?v=-a4iB4OxbnU
http://vk.com/video-233858812_456239030</t>
  </si>
  <si>
    <t>http://rutube.ru/video/2167053a804faf909218e097be0b7263/
http://vk.com/video-118873_456249302
http://www.youtube.com/watch?v=-a4iB4OxbnU
http://dzen.ru/video/watch/695d479ce3db5c60611537dd?f=video
http://www.youtube.com/watch?v=Vwsy1jYbqVo</t>
  </si>
  <si>
    <t>https://s3.twcstorage.ru/bac33a93-fc8a-445a-b967-41d71601c7a5/videos/20261012T1000Z/prod-browser/0017.html</t>
  </si>
  <si>
    <t>У обоих серпов рел видео + у обоих имеются проблемы с наличием ютуба (+-на одном уровне) -&gt; ничья</t>
  </si>
  <si>
    <t>дом студио скибиди туалет</t>
  </si>
  <si>
    <t>Санкт-Петербург и Ленинградская область (10174)</t>
  </si>
  <si>
    <t>О ЧЕМ ЗАПРОС: Пользователь ищет видео, связанные с анимацией «Скибиди туалет», созданной студией DOM Studio. Это популярная интернет-анимация, которая распространяется через различные платформы, включая Telegram, Rutube и TikTok. В запросе упоминается конкретная студия и название анимации.
ОСНОВНОЙ ИНТЕНТ: Найти видео с анимацией «Скибиди туалет» от студии DOM Studio, включая полные эпизоды или специальные выпуски (например, «skibidi toilet multiverse (Christmas Special)»).
ВТОРИЧНЫЙ ИНТЕНТ: ['Посмотреть другие работы DOM Studio, связанные с «Скибиди туалет» (например, «skibidi toilet multiverse 01–020 (all episodes)»).', 'Найти новости или дополнительные материалы о «Скибиди туалет» в Telegram-канале студии или на других платформах.', 'Узнать о других проектах или анимациях DOM Studio, помимо «Скибиди туалет».']</t>
  </si>
  <si>
    <r>
      <rPr/>
      <t xml:space="preserve">http://vk.com/video-227373517_456240333
http://rutube.ru/video/cc2592c3be2821bc94b0fa9e2909cacc/
http://vk.com/video-79858864_456255630
http://vk.com/video-225185618_456313209
</t>
    </r>
    <r>
      <rPr>
        <color rgb="FF1155CC"/>
        <u/>
      </rPr>
      <t>http://vk.com/video-79858864_456264069</t>
    </r>
  </si>
  <si>
    <t>http://vk.com/video-79858864_456255630
http://rutube.ru/video/cc2592c3be2821bc94b0fa9e2909cacc/
http://vk.com/video-79858864_456264437
http://www.youtube.com/watch?v=N7rPbYxOuwo
http://vk.com/video-79858864_456264069</t>
  </si>
  <si>
    <t>https://s3.twcstorage.ru/bac33a93-fc8a-445a-b967-41d71601c7a5/videos/20261012T1000Z/prod-browser/0018.html</t>
  </si>
  <si>
    <t>У обоих серпов схожие выдачи, но в топ-5 у Олда видео недоступно (в то время как у нового имеется дубль рел видео) -&gt; ничья</t>
  </si>
  <si>
    <t>семь смертных грехов 4 сезон все серии</t>
  </si>
  <si>
    <t>Краснодар (35)</t>
  </si>
  <si>
    <t>О ЧЕМ ЗАПРОС: Запрос касается 4-го сезона аниме «Семь смертных грехов: Яростное правосудие», который вышел в 2021 году и состоит из 24 серий. Пользователь ищет все серии этого сезона в видеоформате.
ОСНОВНОЙ ИНТЕНТ: Посмотреть все серии 4-го сезона аниме «Семь смертных грехов: Яростное правосудие» в полном объёме.
ВТОРИЧНЫЙ ИНТЕНТ: ['Найти альтернативные платформы для просмотра 4-го сезона (например, Jut Su, animego.me).', 'Узнать дополнительную информацию о сезоне (даты выхода, количество серий).', 'Посмотреть трейлеры или обзоры 4-го сезона.']</t>
  </si>
  <si>
    <t>http://vk.com/video-207126512_456239183
http://vk.com/video-204399920_456240140
http://vk.com/video-225091159_456239711
http://vk.com/video-207126512_456239184
http://ok.ru/video/4147150195344</t>
  </si>
  <si>
    <t>http://vk.com/video-207126512_456239183
http://vk.com/video-204399920_456240140
http://www.youtube.com/watch?v=5W8YPx9cUow
http://vk.com/video-189724571_456255143?t=3h
http://ok.ru/video/4147182439056</t>
  </si>
  <si>
    <t>https://s3.twcstorage.ru/bac33a93-fc8a-445a-b967-41d71601c7a5/videos/20261012T1000Z/prod-browser/0019.html</t>
  </si>
  <si>
    <r>
      <rPr/>
      <t xml:space="preserve">http://vk.com/video-227373517_456240333
http://rutube.ru/video/cc2592c3be2821bc94b0fa9e2909cacc/
http://vk.com/video-79858864_456255630
http://vk.com/video-225185618_456313209
</t>
    </r>
    <r>
      <rPr>
        <color rgb="FF1155CC"/>
        <u/>
      </rPr>
      <t>http://vk.com/video-79858864_456264069</t>
    </r>
  </si>
  <si>
    <t>enling</t>
  </si>
  <si>
    <t>Одинаковые выдачи, те же самые видео с одних и тех же каналов. Нет видео, где были бы все серии 4 сезона в одном видео, хотя такие существуют.</t>
  </si>
  <si>
    <t>как убить нефтяного старейшину</t>
  </si>
  <si>
    <t>Татариново (120161)</t>
  </si>
  <si>
    <t>О ЧЕМ ЗАПРОС: Запрос касается способа победы над персонажем или существом по имени «нефтяной старейшина» в каком-то медиапродукте (игре, фильме, сериале и т. д.).
ОСНОВНОЙ ИНТЕНТ: Найти видео, объясняющее, как победить «нефтяного старейшину» (например, гайд по прохождению, тактику в игре или сцену из фильма/сериала).
ВТОРИЧНЫЙ ИНТЕНТ: ['Посмотреть обзор или анализ сцены/битвы с «нефтяным старейшиной».', 'Узнать больше о самом персонаже (его происхождении, способностях и роли в сюжете).', 'Найти альтернативные методы или скрытые механики, связанные с этим противником.']</t>
  </si>
  <si>
    <r>
      <rPr/>
      <t xml:space="preserve">http://vk.com/video-187483328_456239022
http://rutube.ru/video/cbe396c12c689030751ffcc6b872a61a/
http://rutube.ru/video/4e955b11208d1e04f298227c1aba3ed4/
http://www.youtube.com/watch?v=csrUdqFTfMA
</t>
    </r>
    <r>
      <rPr>
        <color rgb="FF1155CC"/>
        <u/>
      </rPr>
      <t>http://www.youtube.com/watch?v=-mi7jDqdE68</t>
    </r>
  </si>
  <si>
    <t>http://www.youtube.com/watch?v=BebFSvrcooc
http://rutube.ru/video/4e955b11208d1e04f298227c1aba3ed4/
http://rutube.ru/video/919fe48b16e3137432be517487f03914/
http://www.youtube.com/watch?v=S3QMlbSRlag
http://www.youtube.com/watch?v=-mi7jDqdE68</t>
  </si>
  <si>
    <t>https://s3.twcstorage.ru/bac33a93-fc8a-445a-b967-41d71601c7a5/videos/20261012T1000Z/prod-browser/0020.html</t>
  </si>
  <si>
    <t>Обе выдачи с ненужными Youtube видео (аналоги есть на доступных платформах). Но вместо 2 в первой, во второй уже 3 Youtube видео.</t>
  </si>
  <si>
    <t>секс сексуальный секс</t>
  </si>
  <si>
    <t>Элиста (1094)</t>
  </si>
  <si>
    <t>О ЧЕМ ЗАПРОС: Пользователь ищет видео с материалами сексуального характера (порнографического содержания), предназначенные для взрослой аудитории.
ОСНОВНОЙ ИНТЕНТ: Найти видео с порнографическим контентом для взрослых.
ВТОРИЧНЫЙ ИНТЕНТ: ['Посмотреть тематические подборки или категории порнографических видео.', 'Найти сайты или платформы, специализирующиеся на подобном контенте.']</t>
  </si>
  <si>
    <r>
      <rPr/>
      <t xml:space="preserve">http://vk.com/video-220302576_456240502
http://vk.com/video-220302576_456240486
http://gg.spreee.name/1118590/
http://vk.com/video-226270644_456250117
</t>
    </r>
    <r>
      <rPr>
        <color rgb="FF1155CC"/>
        <u/>
      </rPr>
      <t>http://vk.com/video-220302576_456240214</t>
    </r>
  </si>
  <si>
    <r>
      <rPr/>
      <t xml:space="preserve">http://vk.com/video-187483328_456239022
http://rutube.ru/video/cbe396c12c689030751ffcc6b872a61a/
http://rutube.ru/video/4e955b11208d1e04f298227c1aba3ed4/
http://www.youtube.com/watch?v=csrUdqFTfMA
</t>
    </r>
    <r>
      <rPr>
        <color rgb="FF1155CC"/>
        <u/>
      </rPr>
      <t>http://www.youtube.com/watch?v=-mi7jDqdE68</t>
    </r>
  </si>
  <si>
    <t>http://vk.com/video-220302576_456240524
http://vk.com/video-226270644_456250145
http://vk.com/video-220302576_456240214
http://pornobomba.in/videos/nejnyy-utrenniy-seks-s-glamurnoy-shtuchkoy-v-belom-krujeve/
http://sex.spreee.name/323423/</t>
  </si>
  <si>
    <t>https://s3.twcstorage.ru/bac33a93-fc8a-445a-b967-41d71601c7a5/videos/20261012T1000Z/prod-browser/0021.html</t>
  </si>
  <si>
    <t xml:space="preserve">Из 5 порно видео в первой выдаче совпадает со второй только одно, но 4 новых такого же качества. </t>
  </si>
  <si>
    <t>таро дрим</t>
  </si>
  <si>
    <t>Липецк (9)</t>
  </si>
  <si>
    <t>О ЧЕМ ЗАПРОС: Запрос может быть связан с картами Таро, возможно, с колодой или системой под названием 'Дрим', либо с толкованием снов с использованием Таро.
ОСНОВНОЙ ИНТЕНТ: Найти видео, связанное с картами Таро 'Дрим' (например, обзор колоды, расклады, толкование снов с их помощью).
ВТОРИЧНЫЙ ИНТЕНТ: ['Посмотреть общие видео о Таро и их использовании в толковании снов.', 'Найти обучающие материалы по работе с картами Таро, включая необычные колоды.']</t>
  </si>
  <si>
    <t>http://dzen.ru/video/watch/6ac121053f8c60338c537bc2
http://dzen.ru/video/watch/6abfe55973eaa5227fa9dca0
http://dzen.ru/video/watch/686fe851817356666c95227e
http://dzen.ru/video/watch/68568f005e09204dab55cfe6
http://dzen.ru/video/watch/6abe19c93ddbaf2b1dde7ea8</t>
  </si>
  <si>
    <t>http://dzen.ru/video/watch/686fe851817356666c95227e?f=video
http://dzen.ru/video/watch/68568f005e09204dab55cfe6?f=video
http://dzen.ru/video/watch/6ac163c2f65fe961957ba651?f=video
http://dzen.ru/video/watch/697a42c80aeeb92c54ad5886?f=video
http://dzen.ru/video/watch/6ac4ee9b5113b334aef27fe6?f=video</t>
  </si>
  <si>
    <t>https://s3.twcstorage.ru/bac33a93-fc8a-445a-b967-41d71601c7a5/videos/20261012T1000Z/prod-browser/0022.html</t>
  </si>
  <si>
    <r>
      <rPr/>
      <t xml:space="preserve">http://vk.com/video-220302576_456240502
http://vk.com/video-220302576_456240486
http://gg.spreee.name/1118590/
http://vk.com/video-226270644_456250117
</t>
    </r>
    <r>
      <rPr>
        <color rgb="FF1155CC"/>
        <u/>
      </rPr>
      <t>http://vk.com/video-220302576_456240214</t>
    </r>
  </si>
  <si>
    <t>alannas</t>
  </si>
  <si>
    <t>Обе выдачи релевантные, но в выдаче от 12.10 старые видео стоятв топ-1,2, думаю пользователю нужны более свежие выше</t>
  </si>
  <si>
    <t>клумба</t>
  </si>
  <si>
    <t>Ставропольский край (11069)</t>
  </si>
  <si>
    <t>О ЧЕМ ЗАПРОС: Запрос касается клумб — декоративных участков для выращивания растений с продуманной композицией. Пользователь, вероятно, ищет информацию о создании, оформлении или уходе за клумбами, включая выбор растений и их расположение.
ОСНОВНОЙ ИНТЕНТ: Найти видео о создании, оформлении или уходе за клумбами, включая выбор растений и их расположение.
ВТОРИЧНЫЙ ИНТЕНТ: ['Посмотреть видео о различных типах клумб (регулярные, нерегулярные, миксбордеры и др.).', 'Узнать о комбинациях растений для клумб с непрерывным цветением.', 'Найти советы по выбору места и подготовке почвы для клумбы.']</t>
  </si>
  <si>
    <r>
      <rPr/>
      <t xml:space="preserve">http://dzen.ru/video/watch/6470a6b6072b995c9904c89b
http://dzen.ru/video/watch/62a3211415d2132e4d395cb8
http://vk.com/video-139522068_456239354
http://vk.com/video-5984561_456239370
</t>
    </r>
    <r>
      <rPr>
        <color rgb="FF1155CC"/>
        <u/>
      </rPr>
      <t>http://dzen.ru/video/watch/5edd1e66c827d76a543e0b19</t>
    </r>
  </si>
  <si>
    <t>knikorov</t>
  </si>
  <si>
    <t>http://vk.com/video-139522068_456239374
http://rutube.ru/video/b134e8369bc0c590496047a8634b223c/
http://dzen.ru/video/watch/602fd5552dc5795636ecb6ca?f=video
http://ok.ru/video/1778786829633
http://vk.com/video-5984561_456239370</t>
  </si>
  <si>
    <t>https://s3.twcstorage.ru/bac33a93-fc8a-445a-b967-41d71601c7a5/videos/20261012T1000Z/prod-browser/0023.html</t>
  </si>
  <si>
    <t>В выдаче от 12.10 Ютуб в топ-1 и 4, кроме того в топ-2 непопулярное</t>
  </si>
  <si>
    <t>ну погоди на русскм 16 выпуск</t>
  </si>
  <si>
    <t>Сосьва (110311)</t>
  </si>
  <si>
    <t>О ЧЕМ ЗАПРОС: Пользователь ищет шестнадцатый выпуск советского мультсериала «Ну, погоди!» (1986), режиссёра Вячеслава Котёночкина. В этом выпуске Волк, получив солнечный удар, воображает погоню за Зайцем по сюжетам известных сказок. Мультфильм длится 10 минут и озвучен на русском языке.
ОСНОВНОЙ ИНТЕНТ: Посмотреть 16-й выпуск мультсериала «Ну, погоди!» (1986) полностью.
ВТОРИЧНЫЙ ИНТЕНТ: ['Найти трейлер или фрагменты 16-го выпуска «Ну, погоди!»', 'Узнать больше о создании этого выпуска (например, интервью с создателями)', 'Посмотреть другие выпуски мультсериала «Ну, погоди!»']</t>
  </si>
  <si>
    <t>http://frontend.vh.yandex.ru/player/16110126390076131622
http://rutube.ru/video/068c3cbbe304184bd49b7690c4528ba8/
http://vk.com/video408979617_456239043
http://vk.com/video-24240514_159311536
http://video.mail.ru/mail/kolomyjcev/4710/8281.html</t>
  </si>
  <si>
    <t>https://www.kinopoisk.ru/film/46483/#!watch-film/4ab7044baa2c2dc599c244196429245f/kp/1/16
http://video.mail.ru/bk/sever-67/_myvideo/879.html
http://vk.com/video-24240514_159311536
http://video.mail.ru/mail/2002_09_10/377/111902.html
http://vk.com/video408979617_456239043</t>
  </si>
  <si>
    <t>https://s3.twcstorage.ru/bac33a93-fc8a-445a-b967-41d71601c7a5/videos/20261012T1000Z/prod-browser/0024.html</t>
  </si>
  <si>
    <r>
      <rPr/>
      <t xml:space="preserve">http://dzen.ru/video/watch/6470a6b6072b995c9904c89b
http://dzen.ru/video/watch/62a3211415d2132e4d395cb8
http://vk.com/video-139522068_456239354
http://vk.com/video-5984561_456239370
</t>
    </r>
    <r>
      <rPr>
        <color rgb="FF1155CC"/>
        <u/>
      </rPr>
      <t>http://dzen.ru/video/watch/5edd1e66c827d76a543e0b19</t>
    </r>
  </si>
  <si>
    <t>ulesovai</t>
  </si>
  <si>
    <t xml:space="preserve">В выдаче от 04.10 четыре видео рел+ (1986 г.), а второе видео рел- (Ну, погоди! Каникулы 16 выпуск). Кроме того, в выдаче есть два видео на платформе ВК, но от разных публикаторов. Четвертое и пятое видео в аднной выдаче низкого качества (360р). 
В выдаче от 12.10 все ролики рел+. Качество третьего и четвертого видео 360р. Остальные минимум 720 р. 
ЮТ нет, он и не требуется. </t>
  </si>
  <si>
    <t>триллеры с высоким рейтингом</t>
  </si>
  <si>
    <t>Батайск (11033)</t>
  </si>
  <si>
    <t>О ЧЕМ ЗАПРОС: Пользователь ищет фильмы в жанре триллер, которые имеют высокие рейтинги. В запросе упоминаются как классические, так и современные триллеры, включая ожидаемые новинки 2025 года.
ОСНОВНОЙ ИНТЕНТ: Найти и посмотреть триллеры с высоким рейтингом, включая как уже вышедшие фильмы, так и предстоящие новинки.
ВТОРИЧНЫЙ ИНТЕНТ: ['Узнать о новых триллерах 2025 года с высокими рейтингами.', 'Посмотреть трейлеры или обзоры на указанные триллеры.', 'Найти альтернативные триллеры с похожими рейтингами, если конкретные фильмы недоступны.']</t>
  </si>
  <si>
    <r>
      <rPr/>
      <t xml:space="preserve">http://vk.com/video-200035764_456240097
http://vk.com/video-200035764_456240214
http://frontend.vh.yandex.ru/player/14620058309863738599
http://vk.com/video-221158359_456242181
</t>
    </r>
    <r>
      <rPr>
        <color rgb="FF1155CC"/>
        <u/>
      </rPr>
      <t>http://frontend.vh.yandex.ru/player/6576575034639637996</t>
    </r>
  </si>
  <si>
    <t>http://vk.com/video-221158359_456242181
http://vk.com/video-200035764_456240097
http://vk.com/video-221158359_456241578
https://www.kinopoisk.ru/film/397667/#!watch-film/443c9a2dee446db0b8d3a6d7f930528e/kp
http://vk.com/video-221158359_456240756</t>
  </si>
  <si>
    <t>https://s3.twcstorage.ru/bac33a93-fc8a-445a-b967-41d71601c7a5/videos/20261012T1000Z/prod-browser/0025.html</t>
  </si>
  <si>
    <t>purga89</t>
  </si>
  <si>
    <t>Выдачи релевантны, качество на одном уровне</t>
  </si>
  <si>
    <t>aetrix xxx</t>
  </si>
  <si>
    <t>Ростов-на-Дону (39)</t>
  </si>
  <si>
    <t>О ЧЕМ ЗАПРОС: Запрос не содержит достаточной информации для точного определения его содержания. Возможно, пользователь ищет видео, связанное с 'aetrix xxx', но без дополнительных данных уточнить невозможно.
ОСНОВНОЙ ИНТЕНТ: Найти видео, связанное с 'aetrix xxx' (точное содержание неизвестно из-за недостатка данных).
ВТОРИЧНЫЙ ИНТЕНТ: ["Найти трейлеры или обзоры, если 'aetrix xxx' относится к фильму или сериалу.", "Найти инструкции или демонстрации, если 'aetrix xxx' относится к продукту или технологии.", "Найти контент, связанный с блогером или каналом под названием 'aetrix xxx'."]</t>
  </si>
  <si>
    <t>http://vk.com/video-69345994_168157180
http://vk.com/video681732011_456239087
http://gg.spreee.name/1113302/
http://m.pornobomba.link/videos/geroini-multikov-trahayutsya-v-uzkie-shchelki/
http://www.pornhub.com/view_video.php?viewkey=661fa2f5e94ce</t>
  </si>
  <si>
    <t>http://vk.com/video-69345994_168157180
http://vk.com/video681732011_456239087
http://www.pornhub.com/view_video.php?viewkey=ph62f29faf739d4
http://www.pornhub.com/view_video.php?viewkey=6745de02ef3ad
http://www.pornhub.com/view_video.php?viewkey=661fa2f5e94ce</t>
  </si>
  <si>
    <t>https://s3.twcstorage.ru/bac33a93-fc8a-445a-b967-41d71601c7a5/videos/20261012T1000Z/prod-browser/0026.html</t>
  </si>
  <si>
    <r>
      <rPr/>
      <t xml:space="preserve">http://vk.com/video-200035764_456240097
http://vk.com/video-200035764_456240214
http://frontend.vh.yandex.ru/player/14620058309863738599
http://vk.com/video-221158359_456242181
</t>
    </r>
    <r>
      <rPr>
        <color rgb="FF1155CC"/>
        <u/>
      </rPr>
      <t>http://frontend.vh.yandex.ru/player/6576575034639637996</t>
    </r>
  </si>
  <si>
    <t xml:space="preserve">12.10 : не воспроизводится 3,4, 5. 
04.10: не воспроизводятся 3,4,5. </t>
  </si>
  <si>
    <t>поздравление с днём рождения</t>
  </si>
  <si>
    <t>Новосибирск (65)</t>
  </si>
  <si>
    <t>О ЧЕМ ЗАПРОС: Запрос связан с поиском видеороликов, предназначенных для поздравления с днём рождения. Такие видео могут включать в себя анимацию, музыку, текстовые или голосовые пожелания, а также реальные записи людей, поздравляющих именинника.
ОСНОВНОЙ ИНТЕНТ: Найти видео с поздравлением на день рождения, чтобы поздравить кого-либо или использовать в личных целях.
ВТОРИЧНЫЙ ИНТЕНТ: ['Найти музыкальные поздравления или видеооткрытки для дня рождения.', 'Посмотреть примеры оригинальных или смешных поздравлений для вдохновения.', 'Найти видео с поздравлениями на определённую тематику (например, для детей, родителей, друзей).']</t>
  </si>
  <si>
    <t>http://vk.com/video-65211278_456241978
http://rutube.ru/video/21a239d0dc4c64e2bd914623d3015efc/
http://rutube.ru/video/f31f5de9afe94a14c7a3d4c05f8ab577/
http://www.youtube.com/watch?v=80AZ3OR38IY
http://vk.com/video-94172665_456240512</t>
  </si>
  <si>
    <t>http://vk.com/video-65211278_456241978
http://ok.ru/video/1581902334626
http://ok.ru/video/6878482796991
http://vk.com/video-94172665_456240512
http://rutube.ru/video/f31f5de9afe94a14c7a3d4c05f8ab577/</t>
  </si>
  <si>
    <t>https://s3.twcstorage.ru/bac33a93-fc8a-445a-b967-41d71601c7a5/videos/20261012T1000Z/prod-browser/0027.html</t>
  </si>
  <si>
    <t>12.10: не воспроизводится 2, ютуб
04.10: на 4 ютуб
В обеих выдачах есть по 1 ютуб, все остальное релевантно и доступно</t>
  </si>
  <si>
    <t>мелодрамы русские новинки 2024</t>
  </si>
  <si>
    <t>Саратов (194)</t>
  </si>
  <si>
    <t>О ЧЕМ ЗАПРОС: Запрос касается российских мелодрам, выпущенных в 2024 году. Пользователь ищет информацию о новых фильмах в этом жанре, включая их названия, краткое описание и, возможно, где их можно посмотреть.
ОСНОВНОЙ ИНТЕНТ: Найти и посмотреть новые российские мелодрамы 2024 года.
ВТОРИЧНЫЙ ИНТЕНТ: ['Узнать о новых актерах и режиссерах, снимающихся в российских мелодрамах 2024 года.', 'Найти платформы или сервисы, где можно посмотреть эти мелодрамы.', 'Получить краткое описание сюжетов новых российских мелодрам 2024 года.']</t>
  </si>
  <si>
    <t>http://vk.com/video-199147728_456240926
http://vk.com/video-63979924_456246441
http://vk.com/video-118610351_456243822
http://vk.com/video-118610351_456243774
http://video.mail.ru/mail/vip.s.sd/245/16888.html</t>
  </si>
  <si>
    <t>http://vk.com/video-199147728_456240926
http://vk.com/video-118610351_456243822
http://vk.com/video-118610351_456243774
http://vk.com/video-63979924_456246441
http://video.mail.ru/mail/vip.s.sd/245/16888.html</t>
  </si>
  <si>
    <t>https://s3.twcstorage.ru/bac33a93-fc8a-445a-b967-41d71601c7a5/videos/20261012T1000Z/prod-browser/0028.html</t>
  </si>
  <si>
    <t>12.10: 1 и 4 дублируют друг друга
04.10: 1 и 2 дублируют.
В обеих выдачах проблема дубля</t>
  </si>
  <si>
    <t>как посмотреть подключенные услуги на мтс</t>
  </si>
  <si>
    <t>О ЧЕМ ЗАПРОС: Запрос о том, как проверить список подключенных услуг у оператора связи МТС. Пользователь ищет инструкции по различным способам получения этой информации.
ОСНОВНОЙ ИНТЕНТ: Найти видео с инструкцией о том, как посмотреть подключенные услуги на МТС.
ВТОРИЧНЫЙ ИНТЕНТ: ['Посмотреть обзор мобильного приложения «Мой МТС» для управления услугами.', 'Узнать, как пользоваться USSD-командами для проверки услуг МТС.', 'Найти видео с демонстрацией работы личного кабинета МТС на сайте.']</t>
  </si>
  <si>
    <r>
      <rPr/>
      <t xml:space="preserve">http://rutube.ru/video/ec26049d91124640aacf2f28a85f8054/
http://vk.com/video-127543808_456240795
http://www.youtube.com/watch?v=1cRj4rWzM_Q
http://rutube.ru/video/e96cf2b8ab067d7b7c51941b4766b5a2/
</t>
    </r>
    <r>
      <rPr>
        <color rgb="FF1155CC"/>
        <u/>
      </rPr>
      <t>http://rutube.ru/video/3ddee2cc4be40b1514a0c3da01f4c244/</t>
    </r>
  </si>
  <si>
    <t>http://www.youtube.com/watch?v=1cRj4rWzM_Q
http://rutube.ru/video/ec26049d91124640aacf2f28a85f8054/
http://vk.com/video-127543808_456240795
http://rutube.ru/video/e96cf2b8ab067d7b7c51941b4766b5a2/
http://rutube.ru/video/3ddee2cc4be40b1514a0c3da01f4c244/</t>
  </si>
  <si>
    <t>https://s3.twcstorage.ru/bac33a93-fc8a-445a-b967-41d71601c7a5/videos/20261012T1000Z/prod-browser/0029.html</t>
  </si>
  <si>
    <t>12.10: 1 ютуб за 2018 год, остальные видео доступны ( актуальность2026-23, информация ок)
04.10: 3 ютуб, остальное доступно</t>
  </si>
  <si>
    <t>как укоренить гортензия</t>
  </si>
  <si>
    <t>Одесское (100968)</t>
  </si>
  <si>
    <t>О ЧЕМ ЗАПРОС: Запрос о том, как правильно укоренить гортензию, используя метод черенкования. Включает подробное описание этапов: выбор и подготовка черенков, создание подходящей среды, уход за ними и пересадка. Указывается, что укоренение из букета маловероятно.
ОСНОВНОЙ ИНТЕНТ: Найти видеоинструкцию по укоренению гортензии методом черенкования.
ВТОРИЧНЫЙ ИНТЕНТ: ['Посмотреть альтернативные способы размножения гортензии (например, отводками или делением куста).', 'Узнать о типичных ошибках при укоренении гортензии и способах их избежать.', 'Найти советы по уходу за укорененными черенками гортензии.']</t>
  </si>
  <si>
    <t>http://dzen.ru/video/watch/64a43f43e12d2a02f2931d89
http://dzen.ru/video/watch/6ab2b9273f25c252266cf117
http://vk.com/video-177229507_456242614
http://dzen.ru/video/watch/68b5a1e8910c7045df7ff8e2
http://rutube.ru/video/b77c474b2bc580746dbff24601aaebb9/</t>
  </si>
  <si>
    <t>http://dzen.ru/video/watch/64a43f43e12d2a02f2931d89?f=video
http://vk.com/video-177229507_456242614
http://dzen.ru/video/watch/6ab2b9273f25c252266cf117?f=video
http://ok.ru/video/4472163863279
http://rutube.ru/video/b77c474b2bc580746dbff24601aaebb9/</t>
  </si>
  <si>
    <t>https://s3.twcstorage.ru/bac33a93-fc8a-445a-b967-41d71601c7a5/videos/20261012T1000Z/prod-browser/0030.html</t>
  </si>
  <si>
    <t xml:space="preserve">Обе выдачи полностью релевантны. Единственный косяк - это дубль 1 и 5 в обеих выдачах. Но мы здесь это не учитываем. </t>
  </si>
  <si>
    <t>принцесса диана понасенков</t>
  </si>
  <si>
    <t>Сибирский федеральный округ (59)</t>
  </si>
  <si>
    <t>О ЧЕМ ЗАПРОС: Запрос, вероятно, связан с обсуждением или упоминанием Принцессы Дианы и Евгения Понасенкова. Принцесса Диана — известная британская принцесса, погибшая в 1997 году. Евгений Понасенков — российский публицист и историк, известный своими провокационными высказываниями. Возможно, пользователь ищет видео, где Понасенков высказывается о Диане, или обсуждается их возможная связь.
ОСНОВНОЙ ИНТЕНТ: Найти видео, где обсуждается связь или мнение Евгения Понасенкова о Принцессе Диане
ВТОРИЧНЫЙ ИНТЕНТ: ['Посмотреть интервью или выступления Понасенкова, где он упоминает Диану', 'Найти документальные материалы или обсуждения о Принцессе Диане с участием Понасенкова']</t>
  </si>
  <si>
    <t>http://dzen.ru/video/watch/63a090aa8feeb917fa86847a
http://dzen.ru/embed/vbuwF9WI6qwY
http://vk.com/video-231238810_456239638
http://vk.com/video-204323366_456242687
http://video.mail.ru/ok/564213144899/_myvideo/1335.html</t>
  </si>
  <si>
    <t>http://www.youtube.com/watch?v=--B-xCk4H00
http://dzen.ru/embed/vbuwF9WI6qwY?f=video
http://vk.com/video-231238810_456239638
http://vk.com/video191807148_456246526
http://vk.com/video-26669118_456243411</t>
  </si>
  <si>
    <t>https://s3.twcstorage.ru/bac33a93-fc8a-445a-b967-41d71601c7a5/videos/20261012T1000Z/prod-browser/0031.html</t>
  </si>
  <si>
    <t xml:space="preserve">У автора есть канал и на Ютуб, и на Дзен. Видео о принцессе Диане вышло 19 дек 2022 сразу на обоих каналах. Поэтому потребности в Ютуб нет.
Выдача от 04.10 содержит видео с Дзен в топ-1. Ниже есть дубль этого видео, другое видео о принцессе от Понасенкова и другие видео о Диане. Для поиска конкретного видео это нормально.
Выдача 12.10. В топ-1 оригинал видео на Ютуб, второе видео с Дзен. Ниже другие видео от Понасенкова и видео про Диану. Из-за Ютуб есть проблема доступности. Поэтому выдача стала хуже. 
</t>
  </si>
  <si>
    <t>сотрудничество с mta province</t>
  </si>
  <si>
    <t>Челябинск (56)</t>
  </si>
  <si>
    <t>О ЧЕМ ЗАПРОС: Запрос касается возможного сотрудничества с проектом или сервером MTA Province, связанным с игровой модификацией Multi Theft Auto (MTA) для GTA San Andreas. Точная природа сотрудничества (партнерство, реклама, участие в проекте и т. д.) неизвестна.
ОСНОВНОЙ ИНТЕНТ: Найти видео, связанные с сотрудничеством или партнерством с MTA Province (например, обзоры, гайды, анонсы совместных проектов).
ВТОРИЧНЫЙ ИНТЕНТ: ['Посмотреть обзоры или презентации сервера/проекта MTA Province.', 'Найти видео с инструкциями по участию в проекте или подаче заявки на сотрудничество.', 'Узнать о возможностях взаимодействия с MTA Province (мероприятия, ивенты, рекламные интеграции).']</t>
  </si>
  <si>
    <r>
      <rPr>
        <color rgb="FF1155CC"/>
        <u/>
      </rPr>
      <t>http://dzen.ru/video/watch/6ac079b1c7f1ba6adbd6be1c</t>
    </r>
    <r>
      <rPr/>
      <t xml:space="preserve">
</t>
    </r>
    <r>
      <rPr>
        <color rgb="FF1155CC"/>
        <u/>
      </rPr>
      <t>http://vk.com/video-69871741_456250539</t>
    </r>
    <r>
      <rPr/>
      <t xml:space="preserve">
</t>
    </r>
    <r>
      <rPr>
        <color rgb="FF1155CC"/>
        <u/>
      </rPr>
      <t>http://vk.com/video-69871741_456250528</t>
    </r>
    <r>
      <rPr/>
      <t xml:space="preserve">
</t>
    </r>
    <r>
      <rPr>
        <color rgb="FF1155CC"/>
        <u/>
      </rPr>
      <t>http://dzen.ru/video/watch/671cbc670ef6673212245505</t>
    </r>
    <r>
      <rPr/>
      <t xml:space="preserve">
</t>
    </r>
    <r>
      <rPr>
        <color rgb="FF1155CC"/>
        <u/>
      </rPr>
      <t>http://vk.com/video-118419503_456239937</t>
    </r>
  </si>
  <si>
    <t>http://vk.com/video-118419503_456239967
http://dzen.ru/video/watch/6ac31949fe1edc0c70d228a3?f=video
http://rutube.ru/video/9b4471187dcbf6f1a53544e2d58f92c6/
http://dzen.ru/video/watch/6ac5c1099e30484892b309fe?f=video
http://rutube.ru/video/3a710eae5df489595c4276437f36a8a6/</t>
  </si>
  <si>
    <t>https://s3.twcstorage.ru/bac33a93-fc8a-445a-b967-41d71601c7a5/videos/20261012T1000Z/prod-browser/0032.html</t>
  </si>
  <si>
    <r>
      <rPr/>
      <t xml:space="preserve">http://rutube.ru/video/ec26049d91124640aacf2f28a85f8054/
http://vk.com/video-127543808_456240795
http://www.youtube.com/watch?v=1cRj4rWzM_Q
http://rutube.ru/video/e96cf2b8ab067d7b7c51941b4766b5a2/
</t>
    </r>
    <r>
      <rPr>
        <color rgb="FF1155CC"/>
        <u/>
      </rPr>
      <t>http://rutube.ru/video/3ddee2cc4be40b1514a0c3da01f4c244/</t>
    </r>
  </si>
  <si>
    <t>Не найдено релевантных видео по запросу. Поэтому штрафовать за другие видео о MTA Province не будем.
Выдача 04.10. Топ-3 - актуальные видео об игре. Остальные видео - старые обновления.
Выдача 12.10. Топ-3 - старые видео (2023, 2024). 4 и 5 видео - октябрь 2026. 
Выдача стала хуже из-за ранжирования.</t>
  </si>
  <si>
    <t>наде кинг на русском</t>
  </si>
  <si>
    <t>О ЧЕМ ЗАПРОС: Запрос относится к каналу «NadeKing На Русском», который занимается переводом и адаптацией контента, связанного с CS:GO, для русскоязычной аудитории. Канал доступен на платформах YouTube и RUTUBE.
ОСНОВНОЙ ИНТЕНТ: Найти видео с канала «NadeKing На Русском», посвященные CS:GO, включая геймплей, обучающие материалы и обзоры.
ВТОРИЧНЫЙ ИНТЕНТ: ['Посмотреть переводы оригинального контента NadeKing на русский язык.', 'Найти обучающие материалы или гайды по CS:GO на русском языке.']</t>
  </si>
  <si>
    <r>
      <rPr/>
      <t xml:space="preserve">http://vk.com/video-229059740_456239035
http://vk.com/video-226241670_456242008
http://vk.com/video-226241670_456241855
http://vk.com/video-230197434_456239257
</t>
    </r>
    <r>
      <rPr>
        <color rgb="FF1155CC"/>
        <u/>
      </rPr>
      <t>http://vk.com/video-226241670_456240673</t>
    </r>
  </si>
  <si>
    <t>http://www.youtube.com/watch?v=J-Lw3FCCJeo
http://vk.com/video-226241670_456242008
http://vk.com/video-226241670_456240674
http://vk.com/video-230197434_456239257
http://vk.com/video-226241670_456242093</t>
  </si>
  <si>
    <t>https://s3.twcstorage.ru/bac33a93-fc8a-445a-b967-41d71601c7a5/videos/20261012T1000Z/prod-browser/0033.html</t>
  </si>
  <si>
    <t xml:space="preserve">Подтвержденный канал на YouTube не показан в обоих серпах, хотя должно было быть 1-2 видео оттуда, т.к. это единственный официальный канал с регулярно обновляемым контентом. В выдаче 04.10 все видео релевантны, но 2 и 4 видео - дубли. В выдаче 12.10 топ-1 видео с оригинального канала NadeKing на английском языке, топ-3 видео от другого автора. Выдача 04.10 лучше по релевантности. </t>
  </si>
  <si>
    <t>3 часть мясная лавка где найти ключ сороконожки</t>
  </si>
  <si>
    <t>Оренбургская область (11084)</t>
  </si>
  <si>
    <t>О ЧЕМ ЗАПРОС: Запрос касается прохождения третьей части игры «Мясная лавка» в Roblox, где нужно найти ключ с изображением сороконожки. Этот ключ необходим для открытия дверей в игре.
ОСНОВНОЙ ИНТЕНТ: Найти видео, объясняющее, где и как получить ключ сороконожки в третьей части игры «Мясная лавка» в Roblox.
ВТОРИЧНЫЙ ИНТЕНТ: ['Посмотреть геймплей или прохождение третьей части игры «Мясная лавка».', 'Узнать альтернативные способы получения ключа или советы по прохождению этой части игры.', 'Найти обзор или разбор механик игры, связанных с ключом сороконожки.']</t>
  </si>
  <si>
    <t>http://rutube.ru/video/38eeb72eff1f9ccc5288ef2e311d2dd5/
http://vk.com/video-213043261_456239152
http://vk.com/video-230251537_456239074
http://rutube.ru/video/ab8113207471a69f781f14b1c37dbd63/
http://www.youtube.com/watch?v=oCP6qwWh4gY</t>
  </si>
  <si>
    <t>http://rutube.ru/video/38eeb72eff1f9ccc5288ef2e311d2dd5/
http://vk.com/video-213043261_456239152
http://vk.com/video-230251537_456239074
http://www.youtube.com/watch?v=oCP6qwWh4gY
http://rutube.ru/video/ab8113207471a69f781f14b1c37dbd63/</t>
  </si>
  <si>
    <t>https://s3.twcstorage.ru/bac33a93-fc8a-445a-b967-41d71601c7a5/videos/20261012T1000Z/prod-browser/0034.html</t>
  </si>
  <si>
    <t>Оба серпа имеют одинаковые ролики (у Нового на позицию ниже расположен материал с Ютуба, но не считаю это серьезным аргументом) -&gt; ничья</t>
  </si>
  <si>
    <t>порно лезби школьницы тайно занимаются</t>
  </si>
  <si>
    <t>Фокино (26899)</t>
  </si>
  <si>
    <t>О ЧЕМ ЗАПРОС: Пользователь ищет видео порнографического содержания с участием школьниц, занимающихся лесбийским сексом втайне.
ОСНОВНОЙ ИНТЕНТ: Найти видео порнографического характера с лесбийскими сценами между школьницами, снятыми в тайной обстановке.
ВТОРИЧНЫЙ ИНТЕНТ: ['Найти альтернативные видео с похожим содержанием (например, другие сцены с участием молодых девушек).', 'Найти обзоры или рекомендации подобного контента (если такие существуют).', 'Найти тематические подборки или категории на порносайтах, соответствующие запросу.']</t>
  </si>
  <si>
    <t>http://noodlemagazine.com/watch/-184727766_456239215
http://noodlemagazine.com/watch/-91915904_170993337
http://ukdevilz.com/watch/-132440213_456239478
http://ukdevilz.com/watch/-96867091_171548695
http://ukdevilz.com/watch/-190055806_456240190</t>
  </si>
  <si>
    <t>https://s3.twcstorage.ru/bac33a93-fc8a-445a-b967-41d71601c7a5/videos/20261012T1000Z/prod-browser/0035.html</t>
  </si>
  <si>
    <t>Обе выдачи содержат в целом рел видео, но у старой выдачи в топ-5 имеется удаленное видео -&gt; победа Нового Я</t>
  </si>
  <si>
    <t>мазелов лучшее</t>
  </si>
  <si>
    <t>О ЧЕМ ЗАПРОС: Запрос, вероятно, связан с поиском видео о человеке, группе, событии или объекте под названием «Мазелов» или содержащим это слово. Точных данных о том, что именно ищет пользователь, нет.
ОСНОВНОЙ ИНТЕНТ: Найти видео, связанные с «Мазелов» (например, клипы, выступления, обзоры, интервью или другие материалы).
ВТОРИЧНЫЙ ИНТЕНТ: ['Узнать больше о контексте, связанном с «Мазелов» (если это имя или название).', 'Найти альтернативные или похожие видео, если прямого совпадения нет.']</t>
  </si>
  <si>
    <t>http://vk.com/video-192182313_456239296
http://vk.com/video-192182313_456239366
http://www.youtube.com/watch?v=bWuRULqOc4g
http://vk.com/video-229072763_456239026
http://www.youtube.com/watch?v=WEynaQRwg0k</t>
  </si>
  <si>
    <t>http://vk.com/video-192182313_456239366
http://vk.com/video-192182313_456239296
http://rutube.ru/video/50220e45f94c8f28b8d4d282d098ca4e/
http://vk.com/video-229072763_456239026
http://vk.com/video-192182313_456239202</t>
  </si>
  <si>
    <t>https://s3.twcstorage.ru/bac33a93-fc8a-445a-b967-41d71601c7a5/videos/20261012T1000Z/prod-browser/0036.html</t>
  </si>
  <si>
    <t>yaropolovod</t>
  </si>
  <si>
    <t>frolz-sk</t>
  </si>
  <si>
    <t>Запрос совпадает с названием верифицированного канала "Мазеллов лучшее", где публикуют нарезки стримов Мазеллова. Основная площадка канала находится на YouTube: там 338 тысяч подписчиков и более 1,3 тысячи видео. У канала также есть площадка в VK с тем же названием и оформлением, но материалов на ней заметно меньше. Все результаты относятся к Мазеллову, а три видео в выдачах совпадают.
Слева четыре ролика опубликовал сам канал: A1 и A2 в VK, A3 и A5 на YouTube. Только A4 взят у стороннего публикатора. Справа каналу принадлежат B1 и B3, остальное перезаливы. B2 повторяет подборку тиктоков на небольшом стороннем Rutube-канале. B5 представляет собой копию прохождения Copycat, которое "Мазеллов лучшее" опубликовал на YouTube 10.10.
YouTube по этому запросу нужен, поскольку это основная площадка канала и там больше всего видео. Слева показаны два оригинальных ролика с YouTube и три доступных результата из VK, поэтому всё в порядке. Справа YouTube не показан. Ролики самого канала в VK и сторонние перезаливы частично компенсируют этот недостаток, поэтому преимущество левой выдачи небольшое.</t>
  </si>
  <si>
    <t>косплей танжиро комадо</t>
  </si>
  <si>
    <t>Посёлок радиоцентра Романцево (121345)</t>
  </si>
  <si>
    <t>О ЧЕМ ЗАПРОС: Запрос связан с поиском видео, демонстрирующих косплей на Танджиро Камадо из аниме «Клинок, рассекающий демонов». Это может включать в себя примеры готовых костюмов, процесс создания образа, мастер-классы по косплею или выступления на мероприятиях.
ОСНОВНОЙ ИНТЕНТ: Найти видео с косплеем Танджиро Камадо, чтобы посмотреть примеры образов, процесс создания костюма или выступления косплееров.
ВТОРИЧНЫЙ ИНТЕНТ: ['Узнать, как сделать косплей Танджиро Камадо самостоятельно (мастер-классы, разбор деталей костюма).', 'Посмотреть выступления или фотосессии косплееров в образе Танджиро.', 'Найти обзоры или сравнения разных вариантов косплея этого персонажа.']</t>
  </si>
  <si>
    <t>http://rutube.ru/video/8d4ec1e3a2a52554d2ab85ed80b802df/
http://www.youtube.com/watch?v=954get7tMrY
http://vk.com/video-168231791_456239067
http://rutube.ru/video/e32195dbe5357903fcd8e149dcab384d/
http://www.youtube.com/watch?v=7Zx2QbGRH0k</t>
  </si>
  <si>
    <t>http://rutube.ru/video/8d4ec1e3a2a52554d2ab85ed80b802df/
http://www.youtube.com/watch?v=954get7tMrY
http://www.youtube.com/watch?v=7Zx2QbGRH0k
http://rutube.ru/video/e32195dbe5357903fcd8e149dcab384d/
http://rutube.ru/video/b6a77f6140ddbfe0f811019943f5a34f/</t>
  </si>
  <si>
    <t>https://s3.twcstorage.ru/bac33a93-fc8a-445a-b967-41d71601c7a5/videos/20261012T1000Z/prod-browser/0037.html</t>
  </si>
  <si>
    <r>
      <rPr>
        <color rgb="FF1155CC"/>
        <u/>
      </rPr>
      <t>http://dzen.ru/video/watch/6ac079b1c7f1ba6adbd6be1c</t>
    </r>
    <r>
      <rPr/>
      <t xml:space="preserve">
</t>
    </r>
    <r>
      <rPr>
        <color rgb="FF1155CC"/>
        <u/>
      </rPr>
      <t>http://vk.com/video-69871741_456250539</t>
    </r>
    <r>
      <rPr/>
      <t xml:space="preserve">
</t>
    </r>
    <r>
      <rPr>
        <color rgb="FF1155CC"/>
        <u/>
      </rPr>
      <t>http://vk.com/video-69871741_456250528</t>
    </r>
    <r>
      <rPr/>
      <t xml:space="preserve">
</t>
    </r>
    <r>
      <rPr>
        <color rgb="FF1155CC"/>
        <u/>
      </rPr>
      <t>http://dzen.ru/video/watch/671cbc670ef6673212245505</t>
    </r>
    <r>
      <rPr/>
      <t xml:space="preserve">
</t>
    </r>
    <r>
      <rPr>
        <color rgb="FF1155CC"/>
        <u/>
      </rPr>
      <t>http://vk.com/video-118419503_456239937</t>
    </r>
  </si>
  <si>
    <t>Все результаты соответствуют запросу. A1/B1 показывает подготовку и фотосессию в полном костюме, A2/B2 содержит процесс создания образа, A4/B4 представляет подробный гайд по костюму и реквизиту, а A5/B3 показывает сценическое дефиле. В A2/B2 автор говорит по-украински, подписи также сделаны на украинском. Процесс понятен по кадрам, но пользователь из Москвы может не понять часть пояснений.
Источники в основном небольшие каналы и перезаливы. A1/B1 опубликовал сторонний канал Cool Tech Tips, а A4/B4 находится на сборном канале "Фан-Армия". A3 размещён группой фестиваля "Танабата".
Выдачи отличаются одним результатом. В A3 показано фестивальное выступление Танджиро и Незуко, доступное в VK. На его месте в B5 стоит оригинал влога Nelphise с YouTube. B1 и B5 совпадают по содержанию и доступны в 1080p, поэтому пятый результат справа не даёт нового материала и без VPN не открывается.
YouTube для решения задачи не нужен: на VK и Rutube достаточно релевантных роликов, включая фотосессию, фестивальное выступление и подробный гайд. Слабая победа 04.10</t>
  </si>
  <si>
    <t>b komachi</t>
  </si>
  <si>
    <t>Курск (8)</t>
  </si>
  <si>
    <t>О ЧЕМ ЗАПРОС: Запрос может относиться к музыкальной группе, аниме-персонажу, бренду или другому объекту с названием 'B Komachi'. Точное определение невозможно из-за отсутствия данных в описании и названиях видео.
ОСНОВНОЙ ИНТЕНТ: Найти видео, связанное с 'B Komachi' (например, клипы, выступления, обзоры, если это группа или персонаж).
ВТОРИЧНЫЙ ИНТЕНТ: ["Узнать больше о 'B Komachi' (если это группа или персонаж, возможно, интервью или документальные материалы).", 'Найти альтернативные видео, если основного контента нет (например, фанатские ролики или связанные темы).']</t>
  </si>
  <si>
    <r>
      <rPr/>
      <t xml:space="preserve">http://vk.com/video-196651591_456264250
http://vk.com/video-235345335_456239018
http://vk.com/video-232391998_456239020
http://rutube.ru/video/6108571711d9a9d2e33cc6a39a5798d2/
</t>
    </r>
    <r>
      <rPr>
        <color rgb="FF1155CC"/>
        <u/>
      </rPr>
      <t>http://vk.com/video-232554545_456239179</t>
    </r>
  </si>
  <si>
    <t>http://vk.com/video-196651591_456264250
http://vk.com/video-235345335_456239018
http://www.youtube.com/live/S-UmqvA7uR8
http://rutube.ru/video/6108571711d9a9d2e33cc6a39a5798d2/
http://vk.com/video-220481928_456239023</t>
  </si>
  <si>
    <t>https://s3.twcstorage.ru/bac33a93-fc8a-445a-b967-41d71601c7a5/videos/20261012T1000Z/prod-browser/0038.html</t>
  </si>
  <si>
    <t>dmitrypeitsch</t>
  </si>
  <si>
    <t xml:space="preserve">В варианте справа в топ-5 есть один youtube ролик. В основном подборки в топе состоят из титульной песни, в том числе есть вариант перевода на русский. Различие по сути в одном ролике - слева та же титульная песня с другим видерядом (другая сцена), справа что-то вроде подборки сниппетов нескольких песен в одном ролике. Ролик на youtube продублирован идентичным доступным видео, поэтому является здесь лишним и по инструкции дефектом. За счет этого вариант слева побеждает. </t>
  </si>
  <si>
    <t>ликвид против паривижн</t>
  </si>
  <si>
    <t>Яковлевское (117061)</t>
  </si>
  <si>
    <t>О ЧЕМ ЗАПРОС: Запрос касается киберспортивного противостояния между командами Team Liquid и PARIVISION, включая их матчи на турнирах PGL Wallachia Season 4 и Riyadh Masters 2025 по Dota 2.
ОСНОВНОЙ ИНТЕНТ: Найти видео с матчами между командами Team Liquid и PARIVISION, особенно с их встречами на турнирах PGL Wallachia Season 4 и Riyadh Masters 2025 по Dota 2.
ВТОРИЧНЫЙ ИНТЕНТ: ['Посмотреть обзоры или аналитические разборы матчей между Team Liquid и PARIVISION.', 'Найти интервью или комментарии игроков или экспертов о противостоянии этих команд.', 'Узнать о других матчах Team Liquid и PARIVISION в различных киберспортивных дисциплинах.']</t>
  </si>
  <si>
    <r>
      <rPr/>
      <t xml:space="preserve">http://rutube.ru/video/9e9731694596233350eca20c5a37aa65/
http://vk.com/video-229564700_456239557
http://www.youtube.com/watch?v=YIGu3q3Iwjs
http://rutube.ru/video/7587d20b0b4a5812ad816253b8d4e282/
</t>
    </r>
    <r>
      <rPr>
        <color rgb="FF1155CC"/>
        <u/>
      </rPr>
      <t>http://vk.com/video-212621390_456240433</t>
    </r>
  </si>
  <si>
    <t>http://rutube.ru/video/9e9731694596233350eca20c5a37aa65/
http://vk.com/video-229564700_456239557
http://rutube.ru/video/92c1a4d86d96cb07babc7e4980c6edbe/
http://www.youtube.com/watch?v=YIGu3q3Iwjs
http://rutube.ru/video/7587d20b0b4a5812ad816253b8d4e282/</t>
  </si>
  <si>
    <t>https://s3.twcstorage.ru/bac33a93-fc8a-445a-b967-41d71601c7a5/videos/20261012T1000Z/prod-browser/0039.html</t>
  </si>
  <si>
    <r>
      <rPr/>
      <t xml:space="preserve">http://vk.com/video-229059740_456239035
http://vk.com/video-226241670_456242008
http://vk.com/video-226241670_456241855
http://vk.com/video-230197434_456239257
</t>
    </r>
    <r>
      <rPr>
        <color rgb="FF1155CC"/>
        <u/>
      </rPr>
      <t>http://vk.com/video-226241670_456240673</t>
    </r>
  </si>
  <si>
    <t>В целом обе выдачи полностью релевантны и похожи с единственным отличием, что в выдаче 04.10 одно видео с турнира DreamLeague Season 25 от 2025 года, а в выдаче 12.10 видео с турнира DreamLeague Season 28 от 2026 года. Неизвестно, какую именно игру ищет пользователь, но более свежий матч может быть полезнее, мне кажется. YouTube в допустимом количестве, т.к. большинство видео по Dota 2 выкладываются именно туда.</t>
  </si>
  <si>
    <t>back to friends</t>
  </si>
  <si>
    <t>Курган (53)</t>
  </si>
  <si>
    <t>О ЧЕМ ЗАПРОС: Запрос связан с поиском видео, связанного с песней «Back to Friends», исполненной либо Sombr (инди-поп, 2025), либо Lauren Spencer-Smith (поп-музыка, 2021).
ОСНОВНОЙ ИНТЕНТ: Найти видео с песней «Back to Friends» (клип, live-выступление или лирик-видео) от Sombr или Lauren Spencer-Smith.
ВТОРИЧНЫЙ ИНТЕНТ: ['Посмотреть обзоры или реакции на песню «Back to Friends».', 'Найти другие песни или альбомы Sombr или Lauren Spencer-Smith.', 'Узнать больше о создании песни или её авторах.']</t>
  </si>
  <si>
    <r>
      <rPr/>
      <t xml:space="preserve">http://www.youtube.com/watch?v=q5PPauI9au4
http://vk.com/video-229459697_456240868
http://vk.com/video-227436825_456254313
</t>
    </r>
    <r>
      <rPr>
        <color rgb="FF1155CC"/>
        <u/>
      </rPr>
      <t>http://www.youtube.com/watch?v=sF0BX5ECsKE</t>
    </r>
    <r>
      <rPr/>
      <t xml:space="preserve">
</t>
    </r>
    <r>
      <rPr>
        <color rgb="FF1155CC"/>
        <u/>
      </rPr>
      <t>http://www.youtube.com/watch?v=rOsmXX3EFPQ</t>
    </r>
  </si>
  <si>
    <t>http://www.youtube.com/live/q5PPauI9au4
http://vk.com/video-229459697_456240868
http://www.youtube.com/watch?v=sF0BX5ECsKE
http://vk.com/video-227436825_456254313
http://www.youtube.com/watch?v=rOsmXX3EFPQ</t>
  </si>
  <si>
    <t>https://s3.twcstorage.ru/bac33a93-fc8a-445a-b967-41d71601c7a5/videos/20261012T1000Z/prod-browser/0040.html</t>
  </si>
  <si>
    <t xml:space="preserve">Насколько удалось понять,видео на трек Lauren Spencer Smith есть только на youtube, то есть этот контент можно считать уникальным и расценивать его как дефект выдач. В старом варианте три видео с этой песней (клип и lyric video) и две ссылки на vkvideo с клипом/lyric video Sombr. Справа все то же самое, только немного в другом порядке. Ничья. </t>
  </si>
  <si>
    <t>дьявол носит прада макияж</t>
  </si>
  <si>
    <t>Армавир (10987)</t>
  </si>
  <si>
    <t>О ЧЕМ ЗАПРОС: Запрос касается стилей макияжа героинь фильма «Дьявол носит Prada» (2006, режиссёр Дэвид Фрэнкел), основанного на одноимённом романе Лорен Вайсбергер. Фильм рассказывает о молодой журналистке Энди Сакс, которая становится ассистенткой властного главного редактора модного журнала Миранды Пристли.
ОСНОВНОЙ ИНТЕНТ: Найти видео с разбором или демонстрацией макияжа героинь фильма «Дьявол носит Prada»
ВТОРИЧНЫЙ ИНТЕНТ: ['Посмотреть видео с уроками по созданию макияжа в стиле одной из героинь фильма (например, Миранды или Энди)', 'Найти обзоры или анализы стиля макияжа в фильме от визажистов или бьюти-блогеров', 'Увидеть сравнение макияжа героинь в разных сценах фильма']</t>
  </si>
  <si>
    <r>
      <rPr>
        <color rgb="FF1155CC"/>
        <u/>
      </rPr>
      <t>http://dzen.ru/video/watch/62d796edd8d0b770419a8d0e</t>
    </r>
    <r>
      <rPr/>
      <t xml:space="preserve">
</t>
    </r>
    <r>
      <rPr>
        <color rgb="FF1155CC"/>
        <u/>
      </rPr>
      <t>http://www.youtube.com/watch?v=SplADlxRfiw</t>
    </r>
    <r>
      <rPr/>
      <t xml:space="preserve">
</t>
    </r>
    <r>
      <rPr>
        <color rgb="FF1155CC"/>
        <u/>
      </rPr>
      <t>http://dzen.ru/video/watch/62d797df7b2d120d36986a39</t>
    </r>
    <r>
      <rPr/>
      <t xml:space="preserve">
</t>
    </r>
    <r>
      <rPr>
        <color rgb="FF1155CC"/>
        <u/>
      </rPr>
      <t>http://www.youtube.com/watch?v=FC4bqd3F8vA</t>
    </r>
    <r>
      <rPr/>
      <t xml:space="preserve">
</t>
    </r>
    <r>
      <rPr>
        <color rgb="FF1155CC"/>
        <u/>
      </rPr>
      <t>http://www.youtube.com/watch?v=_F7RLwJTeNw</t>
    </r>
  </si>
  <si>
    <t>http://dzen.ru/shorts/62d796edd8d0b770419a8d0e?f=video
http://www.youtube.com/watch?v=SplADlxRfiw
http://dzen.ru/shorts/62d797df7b2d120d36986a39?f=video
http://www.youtube.com/v/FC4bqd3F8vA
http://www.youtube.com/watch?v=_F7RLwJTeNw</t>
  </si>
  <si>
    <t>https://s3.twcstorage.ru/bac33a93-fc8a-445a-b967-41d71601c7a5/videos/20261012T1000Z/prod-browser/0041.html</t>
  </si>
  <si>
    <t xml:space="preserve">В рунете есть некоторые видео о макияжа из фильма. Но эти видео значительно проигрывают англоязычным роликам из Ютуб (качество, объем, эспертность и пр.). Запрос на русском. Но для видео о нанесении макияжа английский не так критичен, все и так понятно. 
В выдаче 04.10 есть три Ютуб. Они классные, но это перебор. Есть два русских ролика. Но они вертикальные (запрос с Десктоп), нет комментариев. 
Выдача 12.10 - такая же выдача. Без изменений. </t>
  </si>
  <si>
    <t>туалетная вода калипсо деним</t>
  </si>
  <si>
    <t>Первоуральск (11171)</t>
  </si>
  <si>
    <t>О ЧЕМ ЗАПРОС: Пользователь ищет информацию о туалетной воде 'Калипсо Деним', возможно, желая узнать её характеристики, обзор или где её приобрести.
ОСНОВНОЙ ИНТЕНТ: Найти видео с обзором, описанием или рекламой туалетной воды 'Калипсо Деним'.
ВТОРИЧНЫЙ ИНТЕНТ: ["Посмотреть видео с отзывами о туалетной воде 'Калипсо Деним'.", "Найти видео, где демонстрируется использование или распаковка туалетной воды 'Калипсо Деним'.", "Узнать, где можно купить туалетную воду 'Калипсо Деним', возможно, через видео с рекомендациями."]</t>
  </si>
  <si>
    <t>http://ok.ru/modniygorod/topic/155842726265087
http://rutube.ru/video/e1cda99fbcc593265f522147167d04cd/
http://www.youtube.com/watch?v=AHTwzsodob0
http://dzen.ru/video/watch/6a0e09f9b687c9350667e427
http://ok.ru/modniygorod/topic/155805632430335</t>
  </si>
  <si>
    <t>http://ok.ru/modniygorod/topic/155842726265087
http://rutube.ru/video/e1cda99fbcc593265f522147167d04cd/
http://www.youtube.com/watch?v=AHTwzsodob0
http://dzen.ru/video/watch/6a0e09f9b687c9350667e427?f=video
http://ok.ru/modniygorod/topic/155805632430335</t>
  </si>
  <si>
    <t>https://s3.twcstorage.ru/bac33a93-fc8a-445a-b967-41d71601c7a5/videos/20261012T1000Z/prod-browser/0042.html</t>
  </si>
  <si>
    <t>Выдачи достаточно схожие, имеется одно различие в топ-4: у Новой выдачи представлен дубликат видео из топ-2, в то время как у Олда - обзор духов DENIM (не Калипсо). Сложно вынести вердикт, отдаю слабую ничью.</t>
  </si>
  <si>
    <t>скины майнкрафт смешные скины</t>
  </si>
  <si>
    <t>Минино (131804)</t>
  </si>
  <si>
    <t>О ЧЕМ ЗАПРОС: Пользователь ищет смешные скины для персонажей в игре Minecraft. Скины — это текстуры, которые изменяют внешний вид персонажа в игре. В выдаче представлены сайты с коллекциями таких скинов, включая популярные и юмористические варианты.
ОСНОВНОЙ ИНТЕНТ: Найти и скачать смешные скины для Minecraft
ВТОРИЧНЫЙ ИНТЕНТ: ['Посмотреть примеры смешных скинов для вдохновения', 'Узнать, как установить скины в Minecraft', 'Найти тематические скины (например, по мотивам поп-культуры)']</t>
  </si>
  <si>
    <t>http://www.youtube.com/watch?v=CeFe9vjcd1w
http://rutube.ru/video/adbdb67fbc2b34fbebc13d530d82c66c/
http://www.youtube.com/watch?v=YYR5UPDcORU
http://vk.com/video-53019819_456242495
http://rutube.ru/video/f1c6a9d5c39367c5260b3ce58751c049/</t>
  </si>
  <si>
    <t>http://www.youtube.com/watch?v=YYR5UPDcORU
http://rutube.ru/video/af02bc7a2e8678d5ca894a28c25960ae/
http://vk.com/video-53019819_456242495
http://rutube.ru/video/f1c6a9d5c39367c5260b3ce58751c049/
http://rutube.ru/video/9f9a110ef1a38fa57334a253c4944d43/</t>
  </si>
  <si>
    <t>https://s3.twcstorage.ru/bac33a93-fc8a-445a-b967-41d71601c7a5/videos/20261012T1000Z/prod-browser/0043.html</t>
  </si>
  <si>
    <t>Выдачи достаточно схожие, но у старого имеется больше ютуба (в топ 1 и топ-3, в то время как у Нового ютубчик только на топ-1 + у нового то видео, которое у старого с Ютуба, расположено на Рутубе + у обоих серпов имеется дубль из разных платформ)</t>
  </si>
  <si>
    <t>что такое экшен камера простыми словами как и где пользоваться</t>
  </si>
  <si>
    <t>Атамановка (117197)</t>
  </si>
  <si>
    <t>О ЧЕМ ЗАПРОС: Запрос посвящён экшен-камерам — компактным и защищённым видеокамерам, предназначенным для съёмки в экстремальных условиях и во время движения. Пользователь хочет узнать, что это за устройство, как им пользоваться и в каких ситуациях его можно применять.
ОСНОВНОЙ ИНТЕНТ: Найти видео, объясняющее, что такое экшен-камера, как она работает и где её можно использовать.
ВТОРИЧНЫЙ ИНТЕНТ: ['Посмотреть обзоры или тесты экшен-камер, чтобы понять их возможности.', 'Найти инструкции по использованию экшен-камеры (настройка, крепление, съёмка).', 'Узнать о лучших моделях экшен-камер и их особенностях.']</t>
  </si>
  <si>
    <t>http://vk.com/video-29013846_456239691
http://rutube.ru/video/eb3d1130282525a658444fec9a7a147d/
http://rutube.ru/video/cc244110c6b5de730f863ebcaf1e2d61/
http://www.youtube.com/watch?v=Iurldjg45bY
http://rutube.ru/video/7b5862f96c5150ed5c5e3c2eddc9a17c/</t>
  </si>
  <si>
    <t>http://vk.com/video-29013846_456239691?t=33s
http://rutube.ru/video/eb3d1130282525a658444fec9a7a147d/
http://rutube.ru/video/cc244110c6b5de730f863ebcaf1e2d61/
http://www.youtube.com/watch?v=Iurldjg45bY
http://rutube.ru/video/469cd1b34999f9409bee788f9ece3e12/</t>
  </si>
  <si>
    <t>https://s3.twcstorage.ru/bac33a93-fc8a-445a-b967-41d71601c7a5/videos/20261012T1000Z/prod-browser/0044.html</t>
  </si>
  <si>
    <t>На обоих есть ютубчик, плюс на новом два из пяти видео одинаковые</t>
  </si>
  <si>
    <t>мошенники аферисты фармазоны</t>
  </si>
  <si>
    <r>
      <rPr/>
      <t xml:space="preserve">http://vk.com/video-196651591_456264250
http://vk.com/video-235345335_456239018
http://vk.com/video-232391998_456239020
http://rutube.ru/video/6108571711d9a9d2e33cc6a39a5798d2/
</t>
    </r>
    <r>
      <rPr>
        <color rgb="FF1155CC"/>
        <u/>
      </rPr>
      <t>http://vk.com/video-232554545_456239179</t>
    </r>
  </si>
  <si>
    <t>О ЧЕМ ЗАПРОС: Запрос может относиться к общему поиску информации о мошенничестве, включая фильм «Аферисты» (2023) или жаргонное понятие «фармазон». Также возможен интерес к актуальным схемам мошенничества, таким как действия злоумышленников, притворяющихся курьерами.
ОСНОВНОЙ ИНТЕНТ: Найти видео о мошенничестве, включая фильм «Аферисты» (2023) или информацию о «фармазонах».
ВТОРИЧНЫЙ ИНТЕНТ: ['Посмотреть трейлер или обзор фильма «Аферисты» (2023).', 'Узнать о современных схемах мошенничества, например, о случаях с поддельными курьерами.', 'Найти разоблачающие или обучающие ролики о том, как распознать мошенников.']</t>
  </si>
  <si>
    <t>http://rutube.ru/video/9d2e68722b5fbe0b34e50be1415f5c17/
http://dzen.ru/video/watch/6aa84d71bd477f1719b8b76d
http://dzen.ru/video/watch/62b0a35292892e6ea4a8a65f
http://dzen.ru/video/watch/62642a539940f20000bafa9c
http://rutube.ru/video/57587b745a55a67dc9affd2dc8583718/</t>
  </si>
  <si>
    <t>http://rutube.ru/video/9d2e68722b5fbe0b34e50be1415f5c17/
http://dzen.ru/video/watch/62642a539940f20000bafa9c?f=video
http://rutube.ru/video/57587b745a55a67dc9affd2dc8583718/
http://dzen.ru/video/watch/6aa84d71bd477f1719b8b76d?f=video
http://dzen.ru/video/watch/62b0a35292892e6ea4a8a65f?f=video</t>
  </si>
  <si>
    <t>https://s3.twcstorage.ru/bac33a93-fc8a-445a-b967-41d71601c7a5/videos/20261012T1000Z/prod-browser/0045.html</t>
  </si>
  <si>
    <t xml:space="preserve">Мошенники аферисты фармазоны - это название видеоканала, где разводят телефонных мошенников. Выдачи содержат одни и те же видео. </t>
  </si>
  <si>
    <t>таро юлия петрова</t>
  </si>
  <si>
    <t>Екатеринбург (54)</t>
  </si>
  <si>
    <t>О ЧЕМ ЗАПРОС: Запрос связан с поиском видео таролога Юлии Петровой, которая занимается гаданиями на картах Таро. В выдаче упоминаются её прогнозы, прямые эфиры и другой контент, связанный с эзотерикой.
ОСНОВНОЙ ИНТЕНТ: Найти видео с гаданиями или прогнозами от таролога Юлии Петровой
ВТОРИЧНЫЙ ИНТЕНТ: ['Посмотреть прямые эфиры или записи выступлений Юлии Петровой', 'Найти дополнительную информацию о её контенте (Telegram-канал, сайт Boosty)', 'Узнать о её прогнозах на определённые темы (например, мировые события, личные вопросы)']</t>
  </si>
  <si>
    <r>
      <rPr/>
      <t xml:space="preserve">http://rutube.ru/video/204662df3b30dee2009c5c8848207efa/
http://dzen.ru/video/watch/625d90a384d45f24ebb803bc
http://rutube.ru/video/0ae926e7a5ac2df9b77a3ae56b88be0c/
</t>
    </r>
    <r>
      <rPr>
        <color rgb="FF1155CC"/>
        <u/>
      </rPr>
      <t>http://www.youtube.com/watch?v=KqbuAid7054</t>
    </r>
    <r>
      <rPr/>
      <t xml:space="preserve">
http://rutube.ru/video/c101b594980f91f8669c7d2c4188d432/</t>
    </r>
  </si>
  <si>
    <t>http://www.youtube.com/watch?v=o1e3UY6yP30
http://rutube.ru/video/28826a15cda4c01a43d8e84f2ca674d5/
http://www.youtube.com/live/KqbuAid7054
http://rutube.ru/video/0ae926e7a5ac2df9b77a3ae56b88be0c/
http://www.youtube.com/live/MwQyy3D5X4g</t>
  </si>
  <si>
    <t>https://s3.twcstorage.ru/bac33a93-fc8a-445a-b967-41d71601c7a5/videos/20261012T1000Z/prod-browser/0046.html</t>
  </si>
  <si>
    <r>
      <rPr/>
      <t xml:space="preserve">http://rutube.ru/video/9e9731694596233350eca20c5a37aa65/
http://vk.com/video-229564700_456239557
http://www.youtube.com/watch?v=YIGu3q3Iwjs
http://rutube.ru/video/7587d20b0b4a5812ad816253b8d4e282/
</t>
    </r>
    <r>
      <rPr>
        <color rgb="FF1155CC"/>
        <u/>
      </rPr>
      <t>http://vk.com/video-212621390_456240433</t>
    </r>
  </si>
  <si>
    <t xml:space="preserve">Верифицированный канал у искомого таролога именно на Youtube. В выдаче 04.10 одно видео с него, остальные достаточно давние, плюс перезаливы на рандомные каналы с не тематическим содержимым. Тогда 4 из 5 видео в выдаче 12.10 с Ютуба, перебор с заблокированным источником, хоть видео теперь и с авторитетного канала. </t>
  </si>
  <si>
    <t>гравити фолз маты</t>
  </si>
  <si>
    <t>Краснообск (11315)</t>
  </si>
  <si>
    <t>О ЧЕМ ЗАПРОС: Запрос касается мультсериала «Гравити Фолз», созданного Алексом Хиршем и выходившего с 2012 по 2016 год. Пользователь, вероятно, ищет что-то, связанное с этим сериалом, но точный контекст неясен из-за отсутствия описания и названий видео.
ОСНОВНОЙ ИНТЕНТ: Найти видео, связанные с мультсериалом «Гравити Фолз», возможно, сцены с матами (если имеется в виду ненормативная лексика) или игровыми ковриками (если «маты» в этом значении).
ВТОРИЧНЫЙ ИНТЕНТ: ['Посмотреть эпизоды или моменты из «Гравити Фолз» с нецензурной лексикой (если это подразумевается).', 'Найти обзоры или анализ сериала, где могут упоминаться «маты» в любом значении.', 'Узнать о мерчендайзе, связанном с «Гравити Фолз», например, игровых ковриках (если «маты» означают это).']</t>
  </si>
  <si>
    <t>http://rutube.ru/video/ae170535ded11d41ac6257afc03b538b/
http://rutube.ru/video/547b32561414723d53a40e9682350e8f/
http://vk.com/video-238240813_456239095
http://rutube.ru/video/7e59d8f15d6653da4a483735075c5070/
http://rutube.ru/video/5307bc90514753c1518ff0e574d2fe89/</t>
  </si>
  <si>
    <t>http://rutube.ru/video/ae170535ded11d41ac6257afc03b538b/
http://vk.com/video-238240813_456239095
http://rutube.ru/video/547b32561414723d53a40e9682350e8f/
http://rutube.ru/video/7e59d8f15d6653da4a483735075c5070/
http://rutube.ru/video/5307bc90514753c1518ff0e574d2fe89/</t>
  </si>
  <si>
    <t>https://s3.twcstorage.ru/bac33a93-fc8a-445a-b967-41d71601c7a5/videos/20261012T1000Z/prod-browser/0047.html</t>
  </si>
  <si>
    <t>В выдаче 04.10 есть одно удаленное видео и нет Youtube, который не нужен по данному запросу. А в выдаче 12.10 уже, помимо одного удаленного видео, появляется целых 2 видео с Youtube/</t>
  </si>
  <si>
    <t>большой куш</t>
  </si>
  <si>
    <t>Воронеж (193)</t>
  </si>
  <si>
    <t>О ЧЕМ ЗАПРОС: Пользователь, скорее всего, ищет видео, связанное с фильмом «Большой куш» (2000) Гая Ричи — криминальной комедией о приключениях двух мошенников. Также возможно, что запрос относится к другим значениям, например, к крупному выигрышу или успеху в широком смысле.
ОСНОВНОЙ ИНТЕНТ: Посмотреть фильм «Большой куш» (2000) Гая Ричи или связанные с ним видео (трейлеры, обзоры, сцены).
ВТОРИЧНЫЙ ИНТЕНТ: ['Найти трейлеры или отрывки из фильма «Большой куш».', 'Посмотреть обзоры или анализ фильма.', 'Узнать о других работах Гая Ричи в похожем стиле.']</t>
  </si>
  <si>
    <t>http://vk.com/video-220018529_456239341
http://vk.com/video-220018529_456247936
http://rutube.ru/video/5b905048d70b50cf9f9ef12be74236fd/
http://vk.com/video-212054141_456243103
http://vk.com/video-40870056_456245408</t>
  </si>
  <si>
    <t>http://vk.com/video-220018529_456239341
http://vk.com/video-220018529_456247936?t=8m20s
http://rutube.ru/video/5b905048d70b50cf9f9ef12be74236fd/
http://rutube.ru/video/51da19ba4bdd106a2992c826bc507c1d/
http://vk.com/video-212054141_456243103</t>
  </si>
  <si>
    <t>https://s3.twcstorage.ru/bac33a93-fc8a-445a-b967-41d71601c7a5/videos/20261012T1000Z/prod-browser/0048.html</t>
  </si>
  <si>
    <r>
      <rPr/>
      <t xml:space="preserve">http://www.youtube.com/watch?v=q5PPauI9au4
http://vk.com/video-229459697_456240868
http://vk.com/video-227436825_456254313
</t>
    </r>
    <r>
      <rPr>
        <color rgb="FF1155CC"/>
        <u/>
      </rPr>
      <t>http://www.youtube.com/watch?v=sF0BX5ECsKE</t>
    </r>
    <r>
      <rPr/>
      <t xml:space="preserve">
</t>
    </r>
    <r>
      <rPr>
        <color rgb="FF1155CC"/>
        <u/>
      </rPr>
      <t>http://www.youtube.com/watch?v=rOsmXX3EFPQ</t>
    </r>
  </si>
  <si>
    <t>Выдачи релевантные и похожие с единственным отличием в топ-5 видео у выдачи 04.10 и топ-4 видео у выдачи 12.10. Отличаются источники и максимально возможное качество (720р против 1080р). Слабая победа выдачи 04.10 по качеству видео и ранжированию (топ-5 лучшего качества, чем топ-4).</t>
  </si>
  <si>
    <t>как сделать гирлянду из бумаги на новый год своими руками легко и просто из две бумаги</t>
  </si>
  <si>
    <t>Ортолык (123712)</t>
  </si>
  <si>
    <t>О ЧЕМ ЗАПРОС: Запрос о создании новогодней гирлянды из бумаги своими руками. Пользователь ищет простой и легкий способ изготовления гирлянды с использованием минимальных материалов (бумага).
ОСНОВНОЙ ИНТЕНТ: Найти видеоинструкцию по изготовлению новогодней гирлянды из бумаги своими руками легко и просто.
ВТОРИЧНЫЙ ИНТЕНТ: ['Узнать альтернативные способы изготовления гирлянды из бумаги (например, с использованием других материалов или техник).', 'Посмотреть видео с идеями украшения гирлянды (например, добавление бумажных фигурок).', 'Найти видео с советами по выбору материалов для изготовления гирлянды (например, какая бумага лучше подходит).']</t>
  </si>
  <si>
    <t>http://www.youtube.com/watch?v=Utyyk7goWVI
http://ok.ru/video/7010498053613
http://vk.com/video-186905461_456240173
http://www.youtube.com/watch?v=9YAFcdvgi94
http://rutube.ru/video/b5e734b64cceb7ec35c21df6ff215eaa/</t>
  </si>
  <si>
    <t>http://vk.com/video-186905461_456240173
http://rutube.ru/video/654b9b79854ce379da2590864ee9e2ed/
http://www.youtube.com/watch?v=9YAFcdvgi94
http://ok.ru/video/7010498053613
http://www.youtube.com/watch?v=TnGAm16r1-Q</t>
  </si>
  <si>
    <t>https://s3.twcstorage.ru/bac33a93-fc8a-445a-b967-41d71601c7a5/videos/20261012T1000Z/prod-browser/0049.html</t>
  </si>
  <si>
    <t>Победа новой выдачи, т.к. в старой есть недоступный ролик ("Ютуб")</t>
  </si>
  <si>
    <t>spider dance</t>
  </si>
  <si>
    <t>О ЧЕМ ЗАПРОС: Песня «Spider Dance» из саундтрека игры Undertale, созданная Тоби Фоксом. Звучит во время битвы с персонажем Muffet. Игра Undertale выпущена в 2015 году и стала культовой благодаря своей музыке и сюжету.
ОСНОВНОЙ ИНТЕНТ: Найти видео с песней «Spider Dance» из игры Undertale (например, клип, геймплей с этой музыкой или оригинальный трек).
ВТОРИЧНЫЙ ИНТЕНТ: ['Посмотреть геймплей или прохождение битвы с Muffet, где звучит эта песня.', 'Найти каверы или ремиксы на «Spider Dance».', 'Узнать больше о создании музыки для Undertale или других треках саундтрека.']</t>
  </si>
  <si>
    <r>
      <rPr/>
      <t xml:space="preserve">http://www.youtube.com/watch?v=JjD0qHmFB6A
http://rutube.ru/video/bac1368f9ff798810fe5336d6de3f8b5/
http://vk.com/video200838327_456239025
http://rutube.ru/video/57732a9e4c15d647be376a5c77b375c5/
</t>
    </r>
    <r>
      <rPr>
        <color rgb="FF1155CC"/>
        <u/>
      </rPr>
      <t>http://www.youtube.com/watch?v=NH-GAwLAO30</t>
    </r>
  </si>
  <si>
    <r>
      <rPr>
        <color rgb="FF1155CC"/>
        <u/>
      </rPr>
      <t>http://dzen.ru/video/watch/62d796edd8d0b770419a8d0e</t>
    </r>
    <r>
      <rPr/>
      <t xml:space="preserve">
</t>
    </r>
    <r>
      <rPr>
        <color rgb="FF1155CC"/>
        <u/>
      </rPr>
      <t>http://www.youtube.com/watch?v=SplADlxRfiw</t>
    </r>
    <r>
      <rPr/>
      <t xml:space="preserve">
</t>
    </r>
    <r>
      <rPr>
        <color rgb="FF1155CC"/>
        <u/>
      </rPr>
      <t>http://dzen.ru/video/watch/62d797df7b2d120d36986a39</t>
    </r>
    <r>
      <rPr/>
      <t xml:space="preserve">
</t>
    </r>
    <r>
      <rPr>
        <color rgb="FF1155CC"/>
        <u/>
      </rPr>
      <t>http://www.youtube.com/watch?v=FC4bqd3F8vA</t>
    </r>
    <r>
      <rPr/>
      <t xml:space="preserve">
</t>
    </r>
    <r>
      <rPr>
        <color rgb="FF1155CC"/>
        <u/>
      </rPr>
      <t>http://www.youtube.com/watch?v=_F7RLwJTeNw</t>
    </r>
  </si>
  <si>
    <t>http://www.youtube.com/live/NH-GAwLAO30
http://rutube.ru/video/57732a9e4c15d647be376a5c77b375c5/
http://www.youtube.com/v/JjD0qHmFB6A
http://rutube.ru/video/bac1368f9ff798810fe5336d6de3f8b5/
http://www.youtube.com/v/q52Rb1VEiUI</t>
  </si>
  <si>
    <t>https://s3.twcstorage.ru/bac33a93-fc8a-445a-b967-41d71601c7a5/videos/20261012T1000Z/prod-browser/0050.html</t>
  </si>
  <si>
    <t>Нет явных преимуществ какой-либо из выдач: в обеих по 2 недоступных ролика ("ютуб") на одних и тех же позициях</t>
  </si>
  <si>
    <t>хороший доктор</t>
  </si>
  <si>
    <t>Чита (68)</t>
  </si>
  <si>
    <t>О ЧЕМ ЗАПРОС: Запрос, скорее всего, относится к сериалу «Хороший доктор» (англ. The Good Doctor), медицинской драме, рассказывающей о молодом хирурге с аутизмом и синдромом саванта, который начинает работать в престижной больнице. Сериал выходит с 2017 года и насчитывает несколько сезонов. Также возможна отсылка к южнокорейскому сериалу 2013 года с аналогичным названием.
ОСНОВНОЙ ИНТЕНТ: Посмотреть сериал «Хороший доктор» (или его эпизоды) в видеоформате.
ВТОРИЧНЫЙ ИНТЕНТ: ['Найти трейлеры или обзоры сериала «Хороший доктор».', 'Посмотреть альтернативные адаптации сериала (например, южнокорейскую версию).', 'Узнать о новых сезонах или новостях, связанных с сериалом.']</t>
  </si>
  <si>
    <r>
      <rPr>
        <color rgb="FF1155CC"/>
        <u/>
      </rPr>
      <t>http://vk.com/video-234262892_456291115</t>
    </r>
    <r>
      <rPr/>
      <t xml:space="preserve">
http://frontend.vh.yandex.ru/player/8387283069978344325
http://frontend.vh.yandex.ru/player/8734571991087512142
http://frontend.vh.yandex.ru/player/8823992812304709536
</t>
    </r>
    <r>
      <rPr>
        <color rgb="FF1155CC"/>
        <u/>
      </rPr>
      <t>http://frontend.vh.yandex.ru/player/2092602412369823870</t>
    </r>
  </si>
  <si>
    <t>ilyuschenko-i</t>
  </si>
  <si>
    <t>http://vk.com/video-234262892_456291115
https://www.kinopoisk.ru/film/782229/#!watch-film/e8618e75546747d48be833fd1a96c076/kp/1/8
https://www.kinopoisk.ru/film/782229/#!watch-film/e8618e75546747d48be833fd1a96c076/kp/1/20
https://www.kinopoisk.ru/film/782229/#!watch-film/e8618e75546747d48be833fd1a96c076/kp/1/4
http://rutube.ru/video/5e8a2ccfe496b9248bfff5cfbc13b26d/</t>
  </si>
  <si>
    <t>https://s3.twcstorage.ru/bac33a93-fc8a-445a-b967-41d71601c7a5/videos/20261012T1000Z/prod-browser/0051.html</t>
  </si>
  <si>
    <t>Нет явных преимуществ какой-либо из выдач: ролики в обеих релевантны. источники первой сложно оценить</t>
  </si>
  <si>
    <t>порно мамам в машине</t>
  </si>
  <si>
    <t>Барнаул (197)</t>
  </si>
  <si>
    <t>О ЧЕМ ЗАПРОС: Пользователь ищет видео порнографического содержания с участием женщин старшего возраста (условно «мам») в автомобиле. Контент включает различные сцены сексуального характера, происходящие в машине.
ОСНОВНОЙ ИНТЕНТ: Найти порнографическое видео с участием женщин старшего возраста в автомобиле.
ВТОРИЧНЫЙ ИНТЕНТ: ['Посмотреть альтернативные сцены или похожие видео с участием женщин в других локациях (например, дома, на природе).', 'Найти видео с определенным сюжетом (например, «пьяная мама», «сын и мама» и т. д.).', 'Узнать, где можно смотреть подобный контент (сайты, платформы).']</t>
  </si>
  <si>
    <t>http://vk.com/video-137834027_456242748
http://vk.com/video-178909893_456239486
http://m.pornobomba.co/videos/taksist-vyebal-zreluyu-mamku-v-mashine/
http://ukdevilz.com/watch/-158673423_456239618
http://ebalka.fun/videos/130707/trahayu-sisyastuyu-mamku-v-ee-mashine/</t>
  </si>
  <si>
    <t>http://vk.com/video-178909893_456239486
http://ukdevilz.com/watch/-158673423_456239618
http://ebalka.fun/videos/130707/trahayu-sisyastuyu-mamku-v-ee-mashine/
http://m.pornobomba.co/videos/taksist-vyebal-zreluyu-mamku-v-mashine/
http://ukdevilz.com/watch/-203815046_456239244</t>
  </si>
  <si>
    <t>https://s3.twcstorage.ru/bac33a93-fc8a-445a-b967-41d71601c7a5/videos/20261012T1000Z/prod-browser/0052.html</t>
  </si>
  <si>
    <t xml:space="preserve">В старой выдаче 3 ролик недоступен, в новой 3 ролик тем. нерел. Слабая победа новой, т.к. в ней нет сопоставимого по весу дефекта.  </t>
  </si>
  <si>
    <t>поделка часы из пятилитровой бутылки</t>
  </si>
  <si>
    <t>Переясловка (132016)</t>
  </si>
  <si>
    <t>О ЧЕМ ЗАПРОС: Запрос посвящен созданию самодельных часов из пятилитровой пластиковой бутылки. Описаны два типа часов: водяные (работающие на принципе вытекания воды) и цветочные (декоративные с часовым механизмом). Приводятся списки необходимых материалов и пошаговые инструкции для каждого варианта.
ОСНОВНОЙ ИНТЕНТ: Найти видеоинструкцию по изготовлению часов из пятилитровой пластиковой бутылки (водяных или цветочных).
ВТОРИЧНЫЙ ИНТЕНТ: ['Посмотреть альтернативные способы создания часов из подручных материалов.', 'Узнать дополнительные идеи для поделок из пластиковых бутылок.', 'Найти видео с демонстрацией работы готовых самодельных часов.']</t>
  </si>
  <si>
    <t>http://dzen.ru/video/watch/658498ddcf03b714f2630af3
http://rutube.ru/video/44e04633af35bfc3a1507dff63cc79ba/
http://dzen.ru/video/watch/6252edfb9d1dfc34d6ffc2c3
http://www.youtube.com/watch?v=RdZPxyZFXaA
http://dzen.ru/video/watch/62383a86c3d71e0fa92b5ec0</t>
  </si>
  <si>
    <t>http://dzen.ru/video/watch/658498ddcf03b714f2630af3?f=video
http://rutube.ru/video/44e04633af35bfc3a1507dff63cc79ba/
http://dzen.ru/video/watch/6252edfb9d1dfc34d6ffc2c3?f=video
http://vk.com/video-63758929_171449370
http://www.youtube.com/live/QKFiurDh3s0</t>
  </si>
  <si>
    <t>https://s3.twcstorage.ru/bac33a93-fc8a-445a-b967-41d71601c7a5/videos/20261012T1000Z/prod-browser/0053.html</t>
  </si>
  <si>
    <t xml:space="preserve">В обеих выдачах не учтен мод «пятилитровой». В старой выдаче 2 видео про стеклянные бутылки, в новой 2 про стеклянные, 1 недоступно из РФ. Слабая победа старой выдачи, поскольку в ней меньше дефектов. </t>
  </si>
  <si>
    <t>пересказы манги</t>
  </si>
  <si>
    <t>Чаадаево (127172)</t>
  </si>
  <si>
    <t>О ЧЕМ ЗАПРОС: Запрос касается поиска видео с пересказами манги — краткого изложения сюжета манги в видеоформате. Пересказы могут охватывать различные жанры и конкретные произведения.
ОСНОВНОЙ ИНТЕНТ: Найти видео с пересказами манги (кратким изложением сюжета в видеоформате).
ВТОРИЧНЫЙ ИНТЕНТ: ['Найти пересказы конкретных манг (например, «Кэнган Асура», «Боксер», «Священная земля»).', 'Найти пересказы манги определённых жанров (романтика, экшн и др.).', 'Найти альтернативные форматы пересказов (например, озвученные пересказы, краткие обзоры).']</t>
  </si>
  <si>
    <t>http://vk.com/video-240121565_456239632
http://www.youtube.com/watch?v=LiTY6aEqnqo
http://vk.com/video-240121565_456239628
http://vk.com/video-240121565_456239603
http://vk.com/video-210551311_456239170</t>
  </si>
  <si>
    <t>http://vk.com/video-210551311_456239170?t=10m
http://vk.com/video-210551311_456239160?t=26m6s
http://vk.com/video-240121565_456239706
http://rutube.ru/video/4f201e885c493758e391a5c0645b311c/
http://rutube.ru/video/3e88e4742659c417acebad66d7fb9e1c/</t>
  </si>
  <si>
    <t>https://s3.twcstorage.ru/bac33a93-fc8a-445a-b967-41d71601c7a5/videos/20261012T1000Z/prod-browser/0054.html</t>
  </si>
  <si>
    <t xml:space="preserve">В новой выдаче 4 из 5 роликов недоступны («ютуб»). В старой 1 ролик тем. нерел. (манхва), 2 недоступен («ютуб»), 3-4 тем. нерел., 5 рел.+. Победа новой выдачи за счёт большей релевантности: контент недоступен, но в старой выдаче аналогичного нет, поэтому не дефект. </t>
  </si>
  <si>
    <t>фильмы</t>
  </si>
  <si>
    <t>О ЧЕМ ЗАПРОС: Пользователь хочет найти фильмы для просмотра онлайн. Запрос охватывает различные платформы, где можно смотреть фильмы, включая новинки, мировые хиты и классику.
ОСНОВНОЙ ИНТЕНТ: Найти сайты или платформы для просмотра фильмов онлайн.
ВТОРИЧНЫЙ ИНТЕНТ: ['Узнать о новинках кино и предстоящих релизах (например, «Аватар: Пламя и пепел»).', 'Найти подборки лучших фильмов (например, топ-1000).', 'Найти эксклюзивные сериалы и мировые хиты.']</t>
  </si>
  <si>
    <t>http://vk.com/video-228193605_456239138
http://vk.com/video-228140767_456239260
http://vk.com/video-229251112_456239539
http://vk.com/video-190414017_456242832
http://vk.com/video-34229261_456250574</t>
  </si>
  <si>
    <t>http://vk.com/video-190414017_456242832
http://vk.com/video-221701330_456241659
http://vk.com/video-229251112_456239539
http://vk.com/video-133999500_456241494
http://vk.com/video-228193605_456239138</t>
  </si>
  <si>
    <t>https://s3.twcstorage.ru/bac33a93-fc8a-445a-b967-41d71601c7a5/videos/20261012T1000Z/prod-browser/0055.html</t>
  </si>
  <si>
    <t>В выдаче за 12.10 в топ-3 и 5 нельзя просматривать видео, в выдаче за 04.10 в топ-2,3 видео с плохим для фильмов качеством (720)</t>
  </si>
  <si>
    <t>порно измена при муже</t>
  </si>
  <si>
    <t>Горячеводский (121265)</t>
  </si>
  <si>
    <t>О ЧЕМ ЗАПРОС: Пользователь ищет видео порнографического содержания на тему измены в присутствии мужа. Контент предназначен для взрослой аудитории и связан с определённым жанром в порнографии.
ОСНОВНОЙ ИНТЕНТ: Найти видео порнографического содержания на тему измены в присутствии мужа.
ВТОРИЧНЫЙ ИНТЕНТ: ['Найти альтернативные видео с похожим сюжетом (например, измена без присутствия мужа или другие жанры порнографии).', 'Найти обзоры или рекомендации подобного контента (если такие существуют).', 'Найти видео с определёнными актёрами или студиями, специализирующимися на данном жанре.']</t>
  </si>
  <si>
    <t>http://strip2.in/video/5718463/
http://vk.com/video-164694050_456239339
http://strip2.in/video/6537233/
http://ukdevilz.com/watch/-159756506_456239365
http://noodlemagazine.com/watch/-159756506_456239148</t>
  </si>
  <si>
    <r>
      <rPr/>
      <t xml:space="preserve">http://rutube.ru/video/204662df3b30dee2009c5c8848207efa/
http://dzen.ru/video/watch/625d90a384d45f24ebb803bc
http://rutube.ru/video/0ae926e7a5ac2df9b77a3ae56b88be0c/
</t>
    </r>
    <r>
      <rPr>
        <color rgb="FF1155CC"/>
        <u/>
      </rPr>
      <t>http://www.youtube.com/watch?v=KqbuAid7054</t>
    </r>
    <r>
      <rPr/>
      <t xml:space="preserve">
http://rutube.ru/video/c101b594980f91f8669c7d2c4188d432/</t>
    </r>
  </si>
  <si>
    <t>http://strip2.in/video/5718463/
http://vk.com/video-164694050_456239275
http://ukdevilz.com/watch/-159756506_456239148
http://vk.com/video-164694050_456239339
http://vk.com/video-164694050_456239347</t>
  </si>
  <si>
    <t>https://s3.twcstorage.ru/bac33a93-fc8a-445a-b967-41d71601c7a5/videos/20261012T1000Z/prod-browser/0056.html</t>
  </si>
  <si>
    <t>Выдачи содержат релевантные видео, но в выдаче 04.10 одно видео было удалено, поэтому выдача 12.10 лучше.</t>
  </si>
  <si>
    <t>до встречи с тобой фильм смотреть</t>
  </si>
  <si>
    <t>О ЧЕМ ЗАПРОС: Запрос касается фильма «До встречи с тобой» (2016), романтической драмы о девушке, которая становится сиделкой для парализованного мужчины. Фильм доступен для онлайн-просмотра на нескольких платформах и имеет возрастное ограничение 18+.
ОСНОВНОЙ ИНТЕНТ: Посмотреть фильм «До встречи с тобой» (2016) онлайн.
ВТОРИЧНЫЙ ИНТЕНТ: ['Найти платформы, где можно посмотреть фильм «До встречи с тобой».', 'Узнать о возрастном ограничении фильма (18+).']</t>
  </si>
  <si>
    <r>
      <rPr/>
      <t xml:space="preserve">http://vk.com/video-230110580_456239237
http://rutube.ru/video/f9e2cabb6d5bdc58665d6b38383f78a6/
http://vk.com/video-230098113_456244482
http://vk.com/video-239846194_456239296
</t>
    </r>
    <r>
      <rPr>
        <color rgb="FF1155CC"/>
        <u/>
      </rPr>
      <t>http://vk.com/video-202376773_456241301</t>
    </r>
  </si>
  <si>
    <t>http://vk.com/video-214776321_456239724
http://vk.com/video-230110580_456239237
http://vk.com/video-230098113_456244482
http://vk.com/video-202376773_456241301
http://vk.com/video-239846194_456239296</t>
  </si>
  <si>
    <t>https://s3.twcstorage.ru/bac33a93-fc8a-445a-b967-41d71601c7a5/videos/20261012T1000Z/prod-browser/0057.html</t>
  </si>
  <si>
    <t>Выдачи похожие с отличием в 1 видео с RuTube в выдаче 04.10 и топ-1 видео в выдаче 12.10. Обе выдачи заслуживают 1 звезду из-за топ-5 видео слева и топ-4 видео справа, где в начале рекламируется нелегальное казино (в самой рекламе говорится о способе обхода блокировки из России) с явным призывом играть (кадры безбедной жизни с фразой " а что будешь делать ты, когда выиграешь первый миллион?").</t>
  </si>
  <si>
    <t>ээ ты кто такой вообще это муя мошына</t>
  </si>
  <si>
    <t>Подольск (10747)</t>
  </si>
  <si>
    <t>О ЧЕМ ЗАПРОС: Запрос представляет собой бессмысленный или шуточный набор слов, возможно, связанный с мемом, интернет-шуткой или абсурдным контентом. Конкретной информации о содержании или контексте запроса нет.
ОСНОВНОЙ ИНТЕНТ: Найти видео с абсурдным, шуточным или мемным контентом, связанным с фразой 'ээ ты кто такой вообще это муя мошына'.
ВТОРИЧНЫЙ ИНТЕНТ: ['Посмотреть пародии или юмористические ролики, использующие эту фразу', 'Найти объяснение или происхождение данной фразы (если она имеет известный контекст)']</t>
  </si>
  <si>
    <t>http://rutube.ru/video/e3231d30a4bfc89b7e806c6af28c2bd0/
http://vk.com/video-57846937_456254013
http://ok.ru/video/8016581954091
http://vk.com/video637104737_456239234
http://www.youtube.com/watch?v=F3_AbEKUAx8</t>
  </si>
  <si>
    <t>http://rutube.ru/video/e3231d30a4bfc89b7e806c6af28c2bd0/
http://ok.ru/video/8016581954091
http://www.youtube.com/watch?v=F3_AbEKUAx8
http://www.youtube.com/shorts/58FDjeFotVY
http://vk.com/video-224285161_456239261</t>
  </si>
  <si>
    <t>https://s3.twcstorage.ru/bac33a93-fc8a-445a-b967-41d71601c7a5/videos/20261012T1000Z/prod-browser/0058.html</t>
  </si>
  <si>
    <t>Примерно одинаковые выдачи, но у старой "сериал" с блогерами, а у новой дополнительное видео с интернет-мемом</t>
  </si>
  <si>
    <t>hazbin hotel react to rap</t>
  </si>
  <si>
    <t>Новочеркасск (238)</t>
  </si>
  <si>
    <t>О ЧЕМ ЗАПРОС: Пользователь ищет видео, связанное с реакцией персонажей или создателей мультсериала 'Hazbin Hotel' на рэп-композицию, возможно, на трек 'Song of Daisy' из второй части 'Doom Slayer Rap'.
ОСНОВНОЙ ИНТЕНТ: Найти и посмотреть видео с реакцией на рэп, связанный с 'Hazbin Hotel' (например, реакцию персонажей или фанатов на конкретный трек).
ВТОРИЧНЫЙ ИНТЕНТ: ["Узнать больше о фанатском контенте, связанном с 'Hazbin Hotel' (например, музыкальные пародии или каверы).", "Найти другие видео с реакциями на саундтреки или музыкальные темы из 'Hazbin Hotel'."]</t>
  </si>
  <si>
    <t>http://www.youtube.com/watch?v=2VwLIrv9BtA
http://rutube.ru/video/0fcef69733fc29ebd4526cd8185e1145/
http://www.youtube.com/watch?v=PMXGxmT3um4
http://www.youtube.com/watch?v=8b5kKN1Y5H0
http://www.youtube.com/watch?v=XLBdTAmC7K0</t>
  </si>
  <si>
    <t>http://www.youtube.com/watch?v=2VwLIrv9BtA
http://www.youtube.com/live/K6IbgAE7bbk
http://www.youtube.com/watch?v=PMXGxmT3um4
http://www.youtube.com/watch?v=8b5kKN1Y5H0
http://www.youtube.com/watch?v=EFFlgiVtyGo</t>
  </si>
  <si>
    <t>https://s3.twcstorage.ru/bac33a93-fc8a-445a-b967-41d71601c7a5/videos/20261012T1000Z/prod-browser/0059.html</t>
  </si>
  <si>
    <t>Выдача, построенная на ютубе, релевантность видео достаточная в обоих случаях</t>
  </si>
  <si>
    <t>чудо техники тренажер для челюсти</t>
  </si>
  <si>
    <t>Москва и Московская область (1)</t>
  </si>
  <si>
    <t>О ЧЕМ ЗАПРОС: Запрос касается тренажера для челюсти, который, судя по формулировке, является инновационным или необычным устройством. Пользователь хочет найти видео, демонстрирующее его работу, обзор или инструкцию по использованию.
ОСНОВНОЙ ИНТЕНТ: Найти видео с демонстрацией, обзором или инструкцией по использованию тренажера для челюсти, который называют «чудом техники».
ВТОРИЧНЫЙ ИНТЕНТ: ['Посмотреть видео с отзывами или тестированием тренажера для челюсти', 'Найти альтернативные видео о похожих тренажерах или устройствах для челюсти', 'Узнать о принципе работы и эффективности данного тренажера']</t>
  </si>
  <si>
    <t>http://vk.com/video-41532592_456239644
http://vk.com/video-217098231_456239038
http://vk.com/video-41532592_456245235
http://vk.com/video-28658784_456356016
http://www.ntv.ru/video/2411422/</t>
  </si>
  <si>
    <t>http://vk.com/video-41532592_456239644
http://vk.com/video-217098231_456239038
http://vk.com/video-41532592_456245235
http://www.ntv.ru/video/2411422
http://www.ntv.ru/peredacha/chudo_tehniki/m24780/o821666</t>
  </si>
  <si>
    <t>https://s3.twcstorage.ru/bac33a93-fc8a-445a-b967-41d71601c7a5/videos/20261012T1000Z/prod-browser/0060.html</t>
  </si>
  <si>
    <r>
      <rPr/>
      <t xml:space="preserve">http://www.youtube.com/watch?v=JjD0qHmFB6A
http://rutube.ru/video/bac1368f9ff798810fe5336d6de3f8b5/
http://vk.com/video200838327_456239025
http://rutube.ru/video/57732a9e4c15d647be376a5c77b375c5/
</t>
    </r>
    <r>
      <rPr>
        <color rgb="FF1155CC"/>
        <u/>
      </rPr>
      <t>http://www.youtube.com/watch?v=NH-GAwLAO30</t>
    </r>
  </si>
  <si>
    <t>Примерно те же видео, в основном посвящены массажу лица, но есть и ролик про тренажёр для челюсти (первоисточник - нтв)</t>
  </si>
  <si>
    <t>мужчина на канате ходил по башне близнецов</t>
  </si>
  <si>
    <t>Омск (66)</t>
  </si>
  <si>
    <t>О ЧЕМ ЗАПРОС: Запрос о знаменитом трюке Филиппа Пети, который прошёл по канату между башнями-близнецами Всемирного торгового центра в 1974 году, а также о фильмах, посвящённых этому событию.
ОСНОВНОЙ ИНТЕНТ: Посмотреть видео о трюке Филиппа Пети на башнях-близнецах (документальные кадры, фильмы «Человек на канате» или «Прогулка»).
ВТОРИЧНЫЙ ИНТЕНТ: ['Узнать подробности события (интервью, репортажи, архивные записи).', 'Посмотреть другие выступления Филиппа Пети или похожие трюки канатоходцев.']</t>
  </si>
  <si>
    <t>http://vk.com/video-15755094_456419693
http://rutube.ru/video/f58d03e41ee818a7747161ef801a9212/
http://dzen.ru/video/watch/67cee5b608fe856a2ebc2f48
http://vk.com/video-35647551_456286847
http://ok.ru/video/7167386126923</t>
  </si>
  <si>
    <t>http://vk.com/video-15755094_456419693
http://rutube.ru/video/f58d03e41ee818a7747161ef801a9212/
http://dzen.ru/video/watch/67cee5b608fe856a2ebc2f48?f=video
http://vk.com/video-35647551_456286847
http://dzen.ru/video/watch/65f806e40b1d647970fe4d07?f=video</t>
  </si>
  <si>
    <t>https://s3.twcstorage.ru/bac33a93-fc8a-445a-b967-41d71601c7a5/videos/20261012T1000Z/prod-browser/0061.html</t>
  </si>
  <si>
    <t>Серпы содержат идентичный видеоматериал, особых различий не найдено -&gt; ничья</t>
  </si>
  <si>
    <t>владус и леня</t>
  </si>
  <si>
    <t>Южно-Сахалинск (80)</t>
  </si>
  <si>
    <r>
      <rPr>
        <color rgb="FF1155CC"/>
        <u/>
      </rPr>
      <t>http://vk.com/video-234262892_456291115</t>
    </r>
    <r>
      <rPr/>
      <t xml:space="preserve">
http://frontend.vh.yandex.ru/player/8387283069978344325
http://frontend.vh.yandex.ru/player/8734571991087512142
http://frontend.vh.yandex.ru/player/8823992812304709536
</t>
    </r>
    <r>
      <rPr>
        <color rgb="FF1155CC"/>
        <u/>
      </rPr>
      <t>http://frontend.vh.yandex.ru/player/2092602412369823870</t>
    </r>
  </si>
  <si>
    <t>О ЧЕМ ЗАПРОС: Запрос относится к контенту, создаваемому Владусом (Владиславом Готтенко) и Леней — возможно, его соавтором или персонажем. Они публикуют видео, связанные с играми Roblox и Minecraft, а также музыкальные пародии. Контент доступен на различных платформах, включая YouTube и Telegram.
ОСНОВНОЙ ИНТЕНТ: Найти видео с участием Владуса и Лени, связанные с играми Roblox и Minecraft или музыкальными пародиями.
ВТОРИЧНЫЙ ИНТЕНТ: ['Посмотреть стримы или записи игровых сессий Владуса и Лени.', 'Найти пародийные музыкальные видео с их участием.', 'Ознакомиться с контентом их каналов на различных платформах (YouTube, Telegram и др.).']</t>
  </si>
  <si>
    <t>http://rutube.ru/video/8a419694443e7d84fbf444cdcd72052a/
http://rutube.ru/video/825a46238750b07744c4f436d416c643/
http://www.youtube.com/watch?v=RAiK9eqIS24
http://dzen.ru/video/watch/619f830f9b968c621ba20bd3
http://rutube.ru/video/49bfb740492aa35646aeb2ce6b8361a2/</t>
  </si>
  <si>
    <t>http://vk.com/video-229111173_456239373
http://www.youtube.com/live/RAiK9eqIS24
http://ok.ru/video/5342974707086
http://rutube.ru/video/b800a9e8e875f93d5dfe05af76368fbf/
http://www.youtube.com/live/EgrRtaaYMbw</t>
  </si>
  <si>
    <t>https://s3.twcstorage.ru/bac33a93-fc8a-445a-b967-41d71601c7a5/videos/20261012T1000Z/prod-browser/0062.html</t>
  </si>
  <si>
    <t>Поиск видеороликов Владуса и Лени (не указан конкретный видос -&gt; рел будут все видео от Владуса и Лени). Оба серпа представили рел материал, но у нового намного больше Ютуба</t>
  </si>
  <si>
    <t>вики шоу гормия</t>
  </si>
  <si>
    <t>Усолье-Сибирское (11272)</t>
  </si>
  <si>
    <t>elenalebedeva</t>
  </si>
  <si>
    <t>О ЧЕМ ЗАПРОС: Пользователь, вероятно, ищет видео с песней «Гармония» (или похожим названием) от Viki Show и Владимира Левченко, выпущенной в 2024 году в жанре русский поп. Также может интересовать контент, связанный с видеоблогом Viki Show, который ведет Виктория Соловьёва.
ОСНОВНОЙ ИНТЕНТ: Найти видео с песней «Гармония» (или похожим названием) от Viki Show и Владимира Левченко.
ВТОРИЧНЫЙ ИНТЕНТ: ['Посмотреть клип или live-исполнение этой песни.', 'Найти другие видео или контент, связанный с Viki Show (например, блоги, интервью, выступления).', 'Узнать больше о творчестве Виктории Соловьёвой (Viki Show) и Владимира Левченко.']</t>
  </si>
  <si>
    <t>http://vk.com/video-114833794_456242752
http://vk.com/video-114833794_456244224
http://rutube.ru/video/856502f21120fdfa1a525a36046e2750/
http://rutube.ru/video/97773bcd16aac81070e622213faed375/
http://vk.com/video-114833794_456243986</t>
  </si>
  <si>
    <t>http://vk.com/video-114833794_456242752
http://rutube.ru/video/d696b100e5eddfe59f5c7c2e7a4ea543/
http://vk.com/video-114833794_456241809
http://rutube.ru/video/e91fe7cea1d0c6894e2bf59588ea1b50/
http://vk.com/video-114833794_456242241</t>
  </si>
  <si>
    <t>https://s3.twcstorage.ru/bac33a93-fc8a-445a-b967-41d71601c7a5/videos/20261012T1000Z/prod-browser/0063.html</t>
  </si>
  <si>
    <t>Пользователь, вероятно, ищет видео с песней «Гармония» (или похожим названием) от Viki Show и Владимира Левченко. Оба серпа не смогли решить ОИ, представив различные выпуски от Вики Шоу. Особых проблем не найдено -&gt; ничья</t>
  </si>
  <si>
    <t>wps office что это за программа</t>
  </si>
  <si>
    <t>О ЧЕМ ЗАПРОС: WPS Office — это офисный пакет, включающий текстовый редактор, таблицы и презентации, аналог Microsoft Office. Разработан китайской компанией Kingsoft. Популярен благодаря бесплатной версии и совместимости с форматами DOC, XLS, PPT.
ОСНОВНОЙ ИНТЕНТ: Найти видео с обзором или объяснением, что такое WPS Office, её возможностей и особенностей.
ВТОРИЧНЫЙ ИНТЕНТ: ['Посмотреть сравнение WPS Office с другими офисными пакетами (например, Microsoft Office, LibreOffice).', 'Узнать, как установить и настроить WPS Office.', 'Найти обучающие видео по использованию функций WPS Office.']</t>
  </si>
  <si>
    <r>
      <rPr/>
      <t xml:space="preserve">http://vk.com/video-226695215_456267543
http://rutube.ru/video/eec45942a95ef81c5d42a5f27e1cd1ce/
http://rutube.ru/video/a0eaadc58434802c084e94b50a5de935/
http://www.youtube.com/watch?v=bo-A0wuerqY
</t>
    </r>
    <r>
      <rPr>
        <color rgb="FF1155CC"/>
        <u/>
      </rPr>
      <t>http://rutube.ru/video/e048399423daca7b147905c3113377f0/</t>
    </r>
  </si>
  <si>
    <t>http://vk.com/video-226695215_456267543
http://rutube.ru/video/a0eaadc58434802c084e94b50a5de935/
http://rutube.ru/video/eec45942a95ef81c5d42a5f27e1cd1ce/
http://dzen.ru/video/watch/60a1182da2c013747a89e84d?f=video
http://vk.com/video-38292640_456240073</t>
  </si>
  <si>
    <t>https://s3.twcstorage.ru/bac33a93-fc8a-445a-b967-41d71601c7a5/videos/20261012T1000Z/prod-browser/0064.html</t>
  </si>
  <si>
    <t>Левый серп: все страницы решают ОИ, но есть дефект - ютуб + есть дубль на выдаче. Правый серп: нет ютуба, но В4 только рел- и источник плохой и не подходящий. Т.к. релевантность и источник для нас важнее, левый серп считаем лучше.</t>
  </si>
  <si>
    <t>аир 400 лодка пвх проф марин</t>
  </si>
  <si>
    <t>Сия (124908)</t>
  </si>
  <si>
    <t>О ЧЕМ ЗАПРОС: Пользователь ищет видео, связанные с лодкой АИР 400 ПВХ от ProfMarine. Вероятно, его интересует обзор, тест-драйв, инструкция по сборке или эксплуатации этой модели.
ОСНОВНОЙ ИНТЕНТ: Найти видео с обзором, тест-драйвом или инструкцией по лодке АИР 400 ПВХ ProfMarine
ВТОРИЧНЫЙ ИНТЕНТ: ['Посмотреть сравнение лодки АИР 400 с другими моделями', 'Узнать о характеристиках и особенностях этой лодки', 'Найти видео по ремонту или обслуживанию лодки АИР 400']</t>
  </si>
  <si>
    <r>
      <rPr/>
      <t xml:space="preserve">http://rutube.ru/video/31c1a1fdc5d6962c3c1727bd8f426a01/
http://vk.com/video-80937328_456239257
http://rutube.ru/video/b60da8eee3c25b52e596084756d5c5d1/
http://vk.com/video-102333062_456239037
</t>
    </r>
    <r>
      <rPr>
        <color rgb="FF1155CC"/>
        <u/>
      </rPr>
      <t>http://ok.ru/video/10339577432597</t>
    </r>
  </si>
  <si>
    <t>http://rutube.ru/video/31c1a1fdc5d6962c3c1727bd8f426a01/
http://vk.com/video-80937328_456239257
http://rutube.ru/video/b60da8eee3c25b52e596084756d5c5d1/
http://www.youtube.com/v/qPu7hih6I6Y
http://rutube.ru/video/a4bdc23688ca13685f7832939f4aab17/</t>
  </si>
  <si>
    <t>https://s3.twcstorage.ru/bac33a93-fc8a-445a-b967-41d71601c7a5/videos/20261012T1000Z/prod-browser/0065.html</t>
  </si>
  <si>
    <t>israel</t>
  </si>
  <si>
    <t>О ЧЕМ ЗАПРОС: Пользователь ищет видео, связанные с Израилем. Это может быть информация о стране, её достопримечательностях, истории, культуре, политике, путешествиях или других темах, связанных с Израилем.
ОСНОВНОЙ ИНТЕНТ: Найти видео об Израиле (общая информация, история, культура, достопримечательности и т. д.)
ВТОРИЧНЫЙ ИНТЕНТ: ['Посмотреть документальные фильмы или репортажи о Израиле', 'Найти видео о путешествиях по Израилю', 'Узнать о текущих событиях или политической ситуации в Израиле']</t>
  </si>
  <si>
    <t>http://dzen.ru/video/watch/6abfcb2311fd9676e4250c82
http://rutube.ru/video/9a2d85744f82e34d95a64af97223a4cf/
http://vk.com/video-27532693_456372448
http://dzen.ru/video/watch/6abcc22f16d4d432d4eac832
http://vk.com/video-26493942_456418249</t>
  </si>
  <si>
    <t>http://dzen.ru/video/watch/6ac545706fe667493abaf8d4?f=video
http://vk.com/video-14897324_456239614
http://ok.ru/video/267123034846
http://vk.com/video33038036_456250192
http://vk.com/video-40316705_456473802</t>
  </si>
  <si>
    <t>https://s3.twcstorage.ru/bac33a93-fc8a-445a-b967-41d71601c7a5/videos/20261012T1000Z/prod-browser/0066.html</t>
  </si>
  <si>
    <t xml:space="preserve">Ничья, т.к. выдачи решают разные ОИ: старая решает новостной, новая – инфо о стране (в новой есть новостное видео, но оно старое). Преимущественный интент сложно выделить, инфоповоды значимые и могут быть интересны П так же, как и общая информация о стране. </t>
  </si>
  <si>
    <t>брюс ли фильмы</t>
  </si>
  <si>
    <t>Суш (185062)</t>
  </si>
  <si>
    <t>О ЧЕМ ЗАПРОС: Запрос касается фильмов с участием Брюса Ли — легендарного актёра и мастера боевых искусств. В описании перечислены его основные кинокартины, включая такие известные работы, как «Путь дракона», «Кулак ярости», «Выход Дракона» и другие. Указаны жанры и годы выпуска фильмов.
ОСНОВНОЙ ИНТЕНТ: Найти и посмотреть фильмы с участием Брюса Ли.
ВТОРИЧНЫЙ ИНТЕНТ: ['Узнать о фильмографии Брюса Ли (например, документальные фильмы о нём).', 'Посмотреть трейлеры или обзоры фильмов с Брюсом Ли.', 'Найти редкие или менее известные работы Брюса Ли (например, сериалы «Лонгстрит» или «Зелёный Шершень»).']</t>
  </si>
  <si>
    <t>http://vk.com/video-219070611_456240342
http://vk.com/video-172546982_456239930
http://vk.com/video-28099263_456243181
http://vk.com/video-217769307_456239239
http://video.mail.ru/list/forest1962/73/3899.html</t>
  </si>
  <si>
    <t>http://vk.com/video-28099263_456243181?ref_domain=yastatic.net
http://vk.com/video-219070611_456240342
http://vk.com/video-227577789_456239529
http://video.mail.ru/vk/525233359/_myvideo/727.html
http://vk.com/video-29423522_456240776</t>
  </si>
  <si>
    <t>https://s3.twcstorage.ru/bac33a93-fc8a-445a-b967-41d71601c7a5/videos/20261012T1000Z/prod-browser/0067.html</t>
  </si>
  <si>
    <r>
      <rPr/>
      <t xml:space="preserve">http://vk.com/video-230110580_456239237
http://rutube.ru/video/f9e2cabb6d5bdc58665d6b38383f78a6/
http://vk.com/video-230098113_456244482
http://vk.com/video-239846194_456239296
</t>
    </r>
    <r>
      <rPr>
        <color rgb="FF1155CC"/>
        <u/>
      </rPr>
      <t>http://vk.com/video-202376773_456241301</t>
    </r>
  </si>
  <si>
    <t xml:space="preserve">Ничья, т.к. нет явных преимуществ какой-либо из выдач: в обеих релевантные ролики без дефектов. </t>
  </si>
  <si>
    <t>спрячь меня турецкий сериал 21 серия</t>
  </si>
  <si>
    <t>О ЧЕМ ЗАПРОС: Запрос касается 21-й серии турецкого сериала «Спрячь меня» (2023–2024), которая вышла 21 марта 2024 года. В серии происходят ключевые события: конфликты между персонажами, наказание Тансу, решение Филиз о разводе и эмоциональная встреча Мете с отцом.
ОСНОВНОЙ ИНТЕНТ: Посмотреть 21-ю серию турецкого сериала «Спрячь меня»
ВТОРИЧНЫЙ ИНТЕНТ: ['Найти краткое содержание или обзор 21-й серии', 'Узнать, где можно посмотреть серию (например, на ivi.ru или okko.tv)', 'Посмотреть другие серии или сезоны сериала «Спрячь меня»']</t>
  </si>
  <si>
    <t>http://vk.com/video-234262893_456312050
http://vk.com/video-234262894_456310583
http://rutube.ru/video/86d01277e2881487c3fd1aab28a4f9d6/
http://vk.com/video-234262892_456305942
http://www.youtube.com/watch?v=ueKwqzZ6wG8</t>
  </si>
  <si>
    <t>http://vk.com/video-234262893_456312050
http://vk.com/video-234262894_456310583
http://rutube.ru/video/86d01277e2881487c3fd1aab28a4f9d6/
http://vk.com/video-234262892_456305942
http://vk.com/video-229217460_456239042</t>
  </si>
  <si>
    <t>https://s3.twcstorage.ru/bac33a93-fc8a-445a-b967-41d71601c7a5/videos/20261012T1000Z/prod-browser/0068.html</t>
  </si>
  <si>
    <t xml:space="preserve">Первые четыре видео у выдач одинаковые. Разница в пятых роликах. У выдачи от 4.10 - ЮТ, 1080р HD, полная серия, русский дубляж, на канале овер 28К подписчиков. У выдачи от 12.10 - ВК Видео, отрывок из серии, всего 39 просмотров, на канале 4,4К подписчиков, максимальное качество 1080р FHD. Отдаем победу выдаче от 12.10, поскольку ЮТ здесь не нужен. Первые четыре видео вполне решают ОИ в таком же качестве как на ЮТ. </t>
  </si>
  <si>
    <t>ты и мембер форевер жасмин</t>
  </si>
  <si>
    <t>Ачинск (11302)</t>
  </si>
  <si>
    <t>О ЧЕМ ЗАПРОС: Запрос, вероятно, связан с поиском видео, содержащего фразу «ты и мембер форевер жасмин». Это может быть отсылка к песне, мему, сериалу или другому медиаконтенту, где фигурирует имя Жасмин. Точный контекст неясен из-за отсутствия дополнительной информации.
ОСНОВНОЙ ИНТЕНТ: Найти видео с фразой или контентом, связанным с «ты и мембер форевер жасмин» (например, клип, мем, отрывок из шоу).
ВТОРИЧНЫЙ ИНТЕНТ: ['Посмотреть связанные видео (например, обзоры, пародии, реакции на этот контент).', 'Узнать происхождение фразы (если она является мемом или цитатой).']</t>
  </si>
  <si>
    <t>http://vk.com/video-29450087_161183590
http://www.youtube.com/watch?v=TwC9zV7kgzc
http://vk.com/video-23575564_456240785
http://www.youtube.com/watch?v=trBxn33us8o
http://www.youtube.com/watch?v=Vwc8-WHn-dk</t>
  </si>
  <si>
    <t>http://vk.com/video-29450087_161183590
http://www.youtube.com/watch?v=TwC9zV7kgzc
http://vk.com/video-23575564_456240785
http://www.youtube.com/watch?v=Vwc8-WHn-dk
http://www.youtube.com/shorts/trBxn33us8o</t>
  </si>
  <si>
    <t>https://s3.twcstorage.ru/bac33a93-fc8a-445a-b967-41d71601c7a5/videos/20261012T1000Z/prod-browser/0069.html</t>
  </si>
  <si>
    <t>ОИ можно решить (как на ютуб, так и на рутуб), но ни одна выдача его не решает и в топ-1 показывает удалённый с ютуба ролик, у обоих есть проблема лишнего ютуба</t>
  </si>
  <si>
    <t>моя любовь к тебе чиста я просто верю в чудеса</t>
  </si>
  <si>
    <t>О ЧЕМ ЗАПРОС: Запрос связан с поиском стихотворения или песни под названием «Моя любовь к тебе чиста». Стихотворение было опубликовано в 2013 году, а песня — в 2020 году.
ОСНОВНОЙ ИНТЕНТ: Найти видео со стихотворением или песней «Моя любовь к тебе чиста».
ВТОРИЧНЫЙ ИНТЕНТ: ['Посмотреть исполнение песни «Моя любовь к тебе чиста» (версия 2020 года).', 'Найти видео с декламацией стихотворения «Моя любовь к тебе чиста».', 'Узнать больше о творчестве автора «Не Обязательно».']</t>
  </si>
  <si>
    <r>
      <rPr/>
      <t xml:space="preserve">http://rutube.ru/video/ba02e61b0d3ebdbe2dce332409d78cfe/
http://vk.com/video376143693_456239180
http://rutube.ru/video/84aeca6c0b8a22a43b586e3a4f6a19e7/
http://rutube.ru/video/b2ece840b22546af6d213b4cb09f7cdb/
</t>
    </r>
    <r>
      <rPr>
        <color rgb="FF1155CC"/>
        <u/>
      </rPr>
      <t>http://www.youtube.com/watch?v=w1YCTDxesS0</t>
    </r>
  </si>
  <si>
    <t>http://rutube.ru/video/ba02e61b0d3ebdbe2dce332409d78cfe/
http://vk.com/video376143693_456239180
http://rutube.ru/video/d84e699e18699a9eae836457da3e6cfb/
http://rutube.ru/video/b2ece840b22546af6d213b4cb09f7cdb/
http://www.youtube.com/watch?v=w1YCTDxesS0</t>
  </si>
  <si>
    <t>https://s3.twcstorage.ru/bac33a93-fc8a-445a-b967-41d71601c7a5/videos/20261012T1000Z/prod-browser/0070.html</t>
  </si>
  <si>
    <t>Выдачи практически одинаковые, у каждой по 1 видео с Youtube. Разница в урле, где в версии 04.10 ремикс на песню (не решает основной интент), а в выдаче 12.10 оригинал песни.</t>
  </si>
  <si>
    <t>каламити как получить искрящаяся императрица</t>
  </si>
  <si>
    <t>О ЧЕМ ЗАПРОС: Запрос связан с получением магического оружия «Искрящаяся императрица» в моде Calamity для игры Terraria. Оружие можно получить во время рыбалки в Затерянном море с определенным шансом после выполнения определенного условия.
ОСНОВНОЙ ИНТЕНТ: Найти видео, объясняющее, как получить оружие «Искрящаяся императрица» в моде Calamity для Terraria, включая условия и процесс рыбалки в Затерянном море.
ВТОРИЧНЫЙ ИНТЕНТ: ['Посмотреть обзор или демонстрацию оружия «Искрящаяся императрица» в действии.', 'Узнать альтернативные способы получения оружия или похожих предметов в моде Calamity.', 'Найти гайды по прохождению Пустынного бича, чтобы выполнить условие для получения оружия.']</t>
  </si>
  <si>
    <r>
      <rPr>
        <color rgb="FF1155CC"/>
        <u/>
      </rPr>
      <t>http://rutube.ru/video/931248e70cffdhttp://rutube.ru/video/a772aa7d2c5294815353b9b3cee87c4c/</t>
    </r>
    <r>
      <rPr/>
      <t xml:space="preserve">
8e49adf2b09519a3431/
http://rutube.ru/video/220481554c00ecc0fc7b97192cf15ba2/
http://www.youtube.com/watch?v=vi4DywdqghY
http://rutube.ru/video/08afb6ca67ff33c9e8d74c6026b6d9ef/</t>
    </r>
  </si>
  <si>
    <t>http://rutube.ru/video/931248e70cffd8e49adf2b09519a3431/
http://rutube.ru/video/a772aa7d2c5294815353b9b3cee87c4c/
http://www.youtube.com/watch?v=vi4DywdqghY
http://www.youtube.com/watch?v=zGLYkCsWrFM
http://rutube.ru/video/08afb6ca67ff33c9e8d74c6026b6d9ef/</t>
  </si>
  <si>
    <t>https://s3.twcstorage.ru/bac33a93-fc8a-445a-b967-41d71601c7a5/videos/20261012T1000Z/prod-browser/0071.html</t>
  </si>
  <si>
    <t>alextech12321</t>
  </si>
  <si>
    <t>Одинаковые видео, с тематикой игры, но нет ничего про нужное оружие. В каждой выдаче по 1 Youtube видео.</t>
  </si>
  <si>
    <t>что такое экологически катастрофы</t>
  </si>
  <si>
    <t>Владивосток (75)</t>
  </si>
  <si>
    <t>О ЧЕМ ЗАПРОС: Запрос посвящен экологическим катастрофам — масштабным событиям, наносящим значительный ущерб природе и жизни людей. Они могут быть вызваны как природными явлениями, так и антропогенными факторами. В описании приведены конкретные примеры таких катастроф с указанием их последствий.
ОСНОВНОЙ ИНТЕНТ: Найти видео, объясняющее, что такое экологические катастрофы, с примерами и анализом их последствий.
ВТОРИЧНЫЙ ИНТЕНТ: ['Посмотреть документальные фильмы или репортажи о конкретных экологических катастрофах (например, разлив нефти в Мексиканском заливе, авария в Бхопале).', 'Узнать о влиянии экологических катастроф на окружающую среду и здоровье людей через видеоматериалы.', 'Найти образовательные ролики о предотвращении экологических катастроф и методах борьбы с их последствиями.']</t>
  </si>
  <si>
    <t>http://vk.com/video-152992737_456245209
http://www.youtube.com/watch?v=wM3kCtR8UyU
http://rutube.ru/video/42fb07bd8a7014dc05e76d1e6d982750/
http://rutube.ru/video/117ca23dbc9305219e363b3f84a9ab42/
http://vk.com/video-107815026_456239626</t>
  </si>
  <si>
    <t>http://vk.com/video-152992737_456245209
http://rutube.ru/video/fd811a65e331296ebcc714f72ab8338f/
http://www.youtube.com/watch?v=areq-Ct5PVg
http://vk.com/video247363459_456239443
http://www.youtube.com/watch?v=CkDsnVRNs68</t>
  </si>
  <si>
    <t>https://s3.twcstorage.ru/bac33a93-fc8a-445a-b967-41d71601c7a5/videos/20261012T1000Z/prod-browser/0072.html</t>
  </si>
  <si>
    <t>Пользователь ищет объяснение, что такое экологические катастрофы. Прямое определение есть только в A5 - презентации библиотеки на VK: экологическая катастрофа названа необратимым изменением природных комплексов, после чего приведены примеры с 1952 по 2011 год. A3/B3 - урок "ИнтернетУрока" о загрязнении атмосферы, озоновых дырах, кислотных дождях и парниковом эффекте. Остальные общие ролики (A1/B2, A2/B1 и A4/B5) в основном перечисляют известные катастрофы, поэтому отвечают на вопрос лишь частично.
Четыре видео в выдачах совпадают. Различается один результат: слева есть A5 с прямым определением, а справа стоит B4, доступ к которому ограничил автор. Ранжирование справа тоже хуже: подборка с YouTube находится на первом месте, а учебный ролик только на третьем. Поэтому левая выдача лучше решает задачу.
YouTube здесь не нужен: тему достаточно раскрывают ролики на VK и Rutube, а подборка KoToLaPa не даёт уникальной информации. Архивные кадры последствий катастроф показаны в образовательном контексте и не считаются критическим дефектом. Итог: слабая победа 04.10</t>
  </si>
  <si>
    <t>как сделать красивый обработки в гаче лайф</t>
  </si>
  <si>
    <t>Мурманск (23)</t>
  </si>
  <si>
    <t>О ЧЕМ ЗАПРОС: Запрос касается создания и настройки персонажей в игре Gacha Life, включая изменение внешности, одежды и аксессуаров. Также упоминаются приложения для дополнительного редактирования изображений.
ОСНОВНОЙ ИНТЕНТ: Найти видеоинструкцию по созданию и настройке персонажей в Gacha Life, включая изменение внешности, одежды и аксессуаров.
ВТОРИЧНЫЙ ИНТЕНТ: ['Посмотреть обзоры приложений для редактирования изображений персонажей Gacha Life (например, Magisto, Afterlight, Snapseed).', 'Узнать о дополнительных функциях и возможностях настройки в Gacha Life, не упомянутых в основном запросе.', 'Найти видео с примерами красиво оформленных персонажей в Gacha Life для вдохновения.']</t>
  </si>
  <si>
    <r>
      <rPr/>
      <t xml:space="preserve">http://vk.com/video-182961901_456243650
http://rutube.ru/video/85152eaf5771acb8d81f827c44721bfb/
http://www.youtube.com/watch?v=2hE0rumuAIw
http://vk.com/video-182961901_456243649
</t>
    </r>
    <r>
      <rPr>
        <color rgb="FF1155CC"/>
        <u/>
      </rPr>
      <t>http://rutube.ru/video/52b7436ca1f20a9b8357d789a0d36076/</t>
    </r>
  </si>
  <si>
    <t>http://www.youtube.com/watch?v=2hE0rumuAIw
http://vk.com/video-182961901_456243650
http://rutube.ru/video/85152eaf5771acb8d81f827c44721bfb/
http://vk.com/video-182961901_456243649
http://rutube.ru/video/52b7436ca1f20a9b8357d789a0d36076/</t>
  </si>
  <si>
    <t>https://s3.twcstorage.ru/bac33a93-fc8a-445a-b967-41d71601c7a5/videos/20261012T1000Z/prod-browser/0073.html</t>
  </si>
  <si>
    <r>
      <rPr/>
      <t xml:space="preserve">http://vk.com/video-226695215_456267543
http://rutube.ru/video/eec45942a95ef81c5d42a5f27e1cd1ce/
http://rutube.ru/video/a0eaadc58434802c084e94b50a5de935/
http://www.youtube.com/watch?v=bo-A0wuerqY
</t>
    </r>
    <r>
      <rPr>
        <color rgb="FF1155CC"/>
        <u/>
      </rPr>
      <t>http://rutube.ru/video/e048399423daca7b147905c3113377f0/</t>
    </r>
  </si>
  <si>
    <t>12.10 - 1 ютуб, нет доступа
04.10 - 3 ютуб</t>
  </si>
  <si>
    <t>катастрофы фильмы</t>
  </si>
  <si>
    <t>Улькан (120257)</t>
  </si>
  <si>
    <t>О ЧЕМ ЗАПРОС: Запрос касается фильмов, посвященных катастрофам — природным или техногенным, как реальным, так и вымышленным. Пользователь, вероятно, хочет найти список или подборку таких фильмов для просмотра.
ОСНОВНОЙ ИНТЕНТ: Найти и посмотреть фильмы-катастрофы (полные версии, подборки или трейлеры).
ВТОРИЧНЫЙ ИНТЕНТ: ['Узнать о новых или популярных фильмах-катастрофах (например, для выбора что посмотреть).', 'Посмотреть трейлеры или обзоры фильмов-катастроф перед просмотром.', 'Найти фильмы, основанные на реальных катастрофах, для более глубокого понимания событий.']</t>
  </si>
  <si>
    <t>http://vk.com/video-221158359_456243203
http://vk.com/video-221158359_456242953
http://vk.com/video-221158359_456241641
http://vk.com/video-221158359_456240098
http://vk.com/video-221158359_456241805</t>
  </si>
  <si>
    <t>http://vk.com/video-221158359_456242953
http://vk.com/video-221158359_456240098
http://vk.com/video-221158359_456240751
http://vk.com/video-221158359_456242984
http://vk.com/video-221158359_456242033</t>
  </si>
  <si>
    <t>https://s3.twcstorage.ru/bac33a93-fc8a-445a-b967-41d71601c7a5/videos/20261012T1000Z/prod-browser/0074.html</t>
  </si>
  <si>
    <t>В выдачах 2 одинаковых фильма, остальные - разные. В выдаче 04.10 больше современных, а в выдаче 12.10 топ-5 фильм 1993 года в соответствующем качестве. Мы не можем утверждать, что пользователя интересуют только новинки, поэтому выдачи равны по релевантности.</t>
  </si>
  <si>
    <t>bon voyage " 1 сезон втс русская озвучка 8</t>
  </si>
  <si>
    <t>О ЧЕМ ЗАПРОС: Запрос касается 8-й серии первого сезона дорамы BTS Bon Voyage с русской озвучкой. BTS Bon Voyage — это реалити-шоу о путешествиях участников южнокорейского бойз-бэнда BTS, первый сезон которого вышел в 2016 году.
ОСНОВНОЙ ИНТЕНТ: Найти и посмотреть 8-ю серию первого сезона дорамы BTS Bon Voyage с русской озвучкой.
ВТОРИЧНЫЙ ИНТЕНТ: ['Найти альтернативные варианты перевода 8-й серии (например, «Зозя», «Коко Джамбо», «Риддл Спейс», «Зиппер»).', 'Узнать, где ещё доступен этот контент (например, YouTube, Яндекс Видео, DoramaTV).']</t>
  </si>
  <si>
    <t>http://vk.com/video736153435_456240757
http://vk.com/video-224172813_456258330
http://vk.com/video-206494190_456239074
http://vk.com/video-224172813_456261271
http://vk.com/video-234512552_456247566</t>
  </si>
  <si>
    <r>
      <rPr/>
      <t xml:space="preserve">http://rutube.ru/video/31c1a1fdc5d6962c3c1727bd8f426a01/
http://vk.com/video-80937328_456239257
http://rutube.ru/video/b60da8eee3c25b52e596084756d5c5d1/
http://vk.com/video-102333062_456239037
</t>
    </r>
    <r>
      <rPr>
        <color rgb="FF1155CC"/>
        <u/>
      </rPr>
      <t>http://ok.ru/video/10339577432597</t>
    </r>
  </si>
  <si>
    <t>http://vk.com/video736153435_456240757
http://vk.com/video-224172813_456258330
http://vk.com/video-234512552_456247566
http://vk.com/video-224172813_456258308
http://www.youtube.com/watch?v=d0V9r8VZjIg</t>
  </si>
  <si>
    <t>https://s3.twcstorage.ru/bac33a93-fc8a-445a-b967-41d71601c7a5/videos/20261012T1000Z/prod-browser/0075.html</t>
  </si>
  <si>
    <t>Выдачи похожие, все видео решают основной интент. В 04.10 три уникальных видео по озвучке. В 12.10 добавляется четвертое уникальное видео с озвучкой от CocoJambo. У этого канала есть группа в ВК, поэтому наличие YouTube в выдаче является дефектом, но поскольку оно расположено на 5 строчке и может стать уникальным решением для пользователей с VPN, я считаю, что не стоит штрафовать выдачу. Слабая победа выдачи 04.10 по доступности.</t>
  </si>
  <si>
    <t>порно в драке</t>
  </si>
  <si>
    <t>Новокуйбышевск (11135)</t>
  </si>
  <si>
    <t>О ЧЕМ ЗАПРОС: Запрос связан с поиском видео порнографического содержания, где присутствуют элементы драки или борьбы. Контент предназначен только для взрослых.
ОСНОВНОЙ ИНТЕНТ: Найти видео порнографического характера с элементами драки или борьбы.
ВТОРИЧНЫЙ ИНТЕНТ: ['Посмотреть альтернативные видео с похожей тематикой (например, борьба или доминирование).', 'Найти сайты или платформы, специализирующиеся на подобном контенте.']</t>
  </si>
  <si>
    <t>http://ukdevilz.com/watch/-113909228_456239037
http://vk.com/video-185667689_456239021
http://noodlemagazine.com/watch/-161479337_456240490
http://vk.com/video-155555377_456239158
http://ukdevilz.com/watch/-204799067_456239042</t>
  </si>
  <si>
    <t>http://ukdevilz.com/watch/-113909228_456239037
http://noodlemagazine.com/watch/-161479337_456240490
http://vk.com/video-155555377_456239158
http://vk.com/video-227387702_456239322
http://www.pornhub.com/view_video.php?viewkey=ph5f72343c47fd2</t>
  </si>
  <si>
    <t>https://s3.twcstorage.ru/bac33a93-fc8a-445a-b967-41d71601c7a5/videos/20261012T1000Z/prod-browser/0076.html</t>
  </si>
  <si>
    <t>Обе выдачи релевантные, но в новой выдаче 12.10 в топ-5 подтянулось видео с PornHub, которое не загружается без VPN. Выдача 04.10 лучше.</t>
  </si>
  <si>
    <t>братишкин и маления</t>
  </si>
  <si>
    <t>Якутск (74)</t>
  </si>
  <si>
    <t>О ЧЕМ ЗАПРОС: Запрос касается события в игровом сообществе, связанного с победой стримера Bratishkin над боссом Маленией в игре Elden Ring. Пользователь, вероятно, ищет видео, связанное с этим событием или с игровым процессом Bratishkin.
ОСНОВНОЙ ИНТЕНТ: Найти видео, где Bratishkin побеждает Малению в Elden Ring или связанные с этим событием.
ВТОРИЧНЫЙ ИНТЕНТ: ['Посмотреть обзоры или комментарии к игре Elden Ring, связанные с боссом Маленией.', 'Найти другие видео с канала Bratishkin Rofls, связанные с Elden Ring.']</t>
  </si>
  <si>
    <r>
      <rPr/>
      <t xml:space="preserve">http://rutube.ru/video/bf5e5747a64635334005794d316ba0ba/
http://rutube.ru/video/35a8cee6d34862973ae9c2bd10c13a5f/
http://www.youtube.com/watch?v=uDfUgxEU7bA
</t>
    </r>
    <r>
      <rPr>
        <color rgb="FF1155CC"/>
        <u/>
      </rPr>
      <t>http://vk.com/video-219286110_456240422</t>
    </r>
    <r>
      <rPr/>
      <t xml:space="preserve">
</t>
    </r>
    <r>
      <rPr>
        <color rgb="FF1155CC"/>
        <u/>
      </rPr>
      <t>http://vk.com/video-98699940_456798752</t>
    </r>
  </si>
  <si>
    <t>http://rutube.ru/video/bf5e5747a64635334005794d316ba0ba/
http://www.youtube.com/live/uDfUgxEU7bA
http://rutube.ru/video/35a8cee6d34862973ae9c2bd10c13a5f/
http://vk.com/video-219286110_456240422
http://vk.com/video-98699940_456798752</t>
  </si>
  <si>
    <t>https://s3.twcstorage.ru/bac33a93-fc8a-445a-b967-41d71601c7a5/videos/20261012T1000Z/prod-browser/0077.html</t>
  </si>
  <si>
    <t>12.10 - 2 видео ютуб
04.10 - 3 видео ютуб</t>
  </si>
  <si>
    <t>молик анубис на мид</t>
  </si>
  <si>
    <t>О ЧЕМ ЗАПРОС: Запрос касается тактик в Counter-Strike 2 на карте Anubis, связанных с использованием молотов (моликов) и дымов (смоков) на миде. Пользователь, вероятно, ищет видео с инструкциями по выполнению этих бросков.
ОСНОВНОЙ ИНТЕНТ: Найти видео с инструкциями по выполнению бросков молотов (моликов) и дымов (смоков) на миде карты Anubis в CS2.
ВТОРИЧНЫЙ ИНТЕНТ: ['Посмотреть альтернативные тактики для мида на Anubis (например, использование флешек или других видов бросков).', 'Узнать о других полезных тактиках на карте Anubis в CS2.']</t>
  </si>
  <si>
    <r>
      <rPr>
        <color rgb="FF1155CC"/>
        <u/>
      </rPr>
      <t>http://vk.com/video-228777060_456239062</t>
    </r>
    <r>
      <rPr/>
      <t xml:space="preserve">
http://www.youtube.com/watch?v=qteJydz5D0o
http://rutube.ru/video/5409a7fc54f12284ac49b2297e37d5cf/
</t>
    </r>
    <r>
      <rPr>
        <color rgb="FF1155CC"/>
        <u/>
      </rPr>
      <t>http://vk.com/video-144979945_456242739</t>
    </r>
    <r>
      <rPr/>
      <t xml:space="preserve">
</t>
    </r>
    <r>
      <rPr>
        <color rgb="FF1155CC"/>
        <u/>
      </rPr>
      <t>http://www.youtube.com/watch?v=P2QhW5lGQoE</t>
    </r>
  </si>
  <si>
    <t>http://vk.com/video-228777060_456239062
http://www.youtube.com/shorts/qteJydz5D0o
http://www.youtube.com/watch?v=P2QhW5lGQoE
http://vk.com/video-144979945_456242739
http://www.youtube.com/shorts/-gi8dd8eoaY</t>
  </si>
  <si>
    <t>https://s3.twcstorage.ru/bac33a93-fc8a-445a-b967-41d71601c7a5/videos/20261012T1000Z/prod-browser/0078.html</t>
  </si>
  <si>
    <t>В каждой выдаче нужный бросок показан в четырёх видео из пяти. Ролик Санька (A1, A3, B1) и гайд keepaa (A5, B3) содержат нужный молотов. Шортс Kalinmag (A2, B2) показывает менее удачный, но подходящий вариант. Только MyCSGO на четвёртой позиции не отвечает на запрос: в ролике используется смок, а не молотов.
Разница между выдачами сводится к одному результату. A3 повторяет ролик Санька на Rutube, а B5 предлагает ещё один вариант молотова от Skarp_YKT. При этом B5 размещён на YouTube. По релевантности выдачи равны.
Качество источников сопоставимо. MyCSGO заметно крупнее остальных каналов, но его ролик не отвечает на запрос. Остальные источники небольшие, однако для короткой демонстрации раскидки их уровня достаточно.
YouTube для решения задачи не нужен: подходящий молотов есть в ролике Санька на VK и Rutube, а видео с YouTube не предлагают заметно лучшего решения. Слева две ссылки на YouTube, справа три. Без VPN пользователь в обоих случаях получает один и тот же подходящий ответ. Справа есть дополнительный вариант для пользователей с VPN, но это преимущество уравновешивается большей долей YouTube. Критических дефектов нет. Итог: ничья.</t>
  </si>
  <si>
    <t>игра престолов смотреть онлайн</t>
  </si>
  <si>
    <t>Калуга (6)</t>
  </si>
  <si>
    <t>О ЧЕМ ЗАПРОС: Запрос о поиске возможности посмотреть сериал «Игра престолов» онлайн. Сериал в жанре фэнтези, основанный на книгах Джорджа Р. Р. Мартина, выходил с 2011 по 2019 год и включает 8 сезонов.
ОСНОВНОЙ ИНТЕНТ: Посмотреть сериал «Игра престолов» онлайн
ВТОРИЧНЫЙ ИНТЕНТ: ['Найти трейлеры или отрывки из сериала', 'Посмотреть обзоры или анализ серий', 'Узнать о платформах, где доступен сериал для просмотра']</t>
  </si>
  <si>
    <r>
      <rPr/>
      <t xml:space="preserve">http://vk.com/video-76914461_456245273
http://video.mail.ru/mail/rybka_rus/30/27204.html
http://ok.ru/video/2297832999481
http://video.mail.ru/mail/rybka_rus/30/27233.html
</t>
    </r>
    <r>
      <rPr>
        <color rgb="FF1155CC"/>
        <u/>
      </rPr>
      <t>http://ok.ru/video/9063083346487</t>
    </r>
  </si>
  <si>
    <t>http://vk.com/video-234262896_456314263
http://vk.com/video-234262896_456314352
http://vk.com/video-229908066_456239438
http://vk.com/video-234262896_456314264
http://vk.com/video-76914461_456245273</t>
  </si>
  <si>
    <t>https://s3.twcstorage.ru/bac33a93-fc8a-445a-b967-41d71601c7a5/videos/20261012T1000Z/prod-browser/0079.html</t>
  </si>
  <si>
    <t>12.10 - видео недоступны
04.10 - видео доступны, задача решается плохо. 1 - трейлер одного из сезонов, 5 - пародия.</t>
  </si>
  <si>
    <t>5x30 5 min day</t>
  </si>
  <si>
    <t>Нижний Новгород (47)</t>
  </si>
  <si>
    <t>О ЧЕМ ЗАПРОС: Запрос, вероятно, связан с короткими ежедневными активностями, такими как тренировки или упражнения, выполняемые в течение 5 минут или состоящие из 5 подходов по 30 секунд.
ОСНОВНОЙ ИНТЕНТ: Найти видео с короткими тренировками или упражнениями (например, 5 подходов по 30 секунд или 5-минутные комплексы).
ВТОРИЧНЫЙ ИНТЕНТ: ['Посмотреть обзоры или демонстрации подобных тренировок.', 'Найти альтернативные варианты коротких ежедневных упражнений.']</t>
  </si>
  <si>
    <r>
      <rPr/>
      <t xml:space="preserve">http://rutube.ru/video/d33866d7a9b815a479d8da50cbaf4138/
http://rutube.ru/video/3e910b634c43182d70dd9103cc6ce0a3/
http://www.youtube.com/watch?v=xmzdEP8Ubnc
</t>
    </r>
    <r>
      <rPr>
        <color rgb="FF1155CC"/>
        <u/>
      </rPr>
      <t>http://vk.com/video-166884737_456277802</t>
    </r>
    <r>
      <rPr/>
      <t xml:space="preserve">
http://www.youtube.com/watch?v=ls9xUJEXzBk</t>
    </r>
  </si>
  <si>
    <r>
      <rPr/>
      <t xml:space="preserve">http://rutube.ru/video/ba02e61b0d3ebdbe2dce332409d78cfe/
http://vk.com/video376143693_456239180
http://rutube.ru/video/84aeca6c0b8a22a43b586e3a4f6a19e7/
http://rutube.ru/video/b2ece840b22546af6d213b4cb09f7cdb/
</t>
    </r>
    <r>
      <rPr>
        <color rgb="FF1155CC"/>
        <u/>
      </rPr>
      <t>http://www.youtube.com/watch?v=w1YCTDxesS0</t>
    </r>
  </si>
  <si>
    <t>http://rutube.ru/video/d33866d7a9b815a479d8da50cbaf4138/
http://www.youtube.com/watch?v=ls9xUJEXzBk
http://rutube.ru/video/3e910b634c43182d70dd9103cc6ce0a3/
http://vk.com/video261119290_456241101
http://www.youtube.com/live/xmzdEP8Ubnc</t>
  </si>
  <si>
    <t>https://s3.twcstorage.ru/bac33a93-fc8a-445a-b967-41d71601c7a5/videos/20261012T1000Z/prod-browser/0080.html</t>
  </si>
  <si>
    <t>12.10: 2,3 нет доступа ютуб
04.10: 3 и 5 нет доступа ютуб</t>
  </si>
  <si>
    <t>видео просек парень наказал девушку</t>
  </si>
  <si>
    <t>Тверь (14)</t>
  </si>
  <si>
    <t>О ЧЕМ ЗАПРОС: Пользователь ищет видео, где мужчина каким-либо образом наказывает девушку. Конкретный жанр, сюжет или формат (например, фильм, клип, сцена из сериала, реальное видео) неизвестны из-за отсутствия дополнительных данных.
ОСНОВНОЙ ИНТЕНТ: Найти видео, где показана сцена, в которой парень наказывает девушку (например, драка, конфликт, сцена из фильма или сериала).
ВТОРИЧНЫЙ ИНТЕНТ: ['Посмотреть трейлер или отрывок из фильма/сериала с подобной сценой.', 'Найти обсуждение или анализ подобных сцен в видеоблогах или на форумах.', 'Узнать контекст сцены (если это часть известного произведения).']</t>
  </si>
  <si>
    <t>http://vk.com/video-223859787_456247861
http://vk.com/video-218258292_456239240
http://vk.com/video-94705798_456246239
http://vk.com/video-212466386_456246336
http://ukdevilz.com/watch/-201185781_456239601</t>
  </si>
  <si>
    <t>http://vk.com/video-218258292_456239240
http://vk.com/video-94705798_456246239
http://vk.com/video-212466386_456246336
http://porn0sex.live/videos/molodoy-paren-strastno-nakazal-svoyu-devushku-za-bolshie-rashody/
http://ukdevilz.com/watch/-214637563_456239036</t>
  </si>
  <si>
    <t>https://s3.twcstorage.ru/bac33a93-fc8a-445a-b967-41d71601c7a5/videos/20261012T1000Z/prod-browser/0081.html</t>
  </si>
  <si>
    <t>12.10 - все доступно, задача решается
04.10 - все доступно, задача решается</t>
  </si>
  <si>
    <t>чсв треки</t>
  </si>
  <si>
    <t>О ЧЕМ ЗАПРОС: Запрос связан с поиском трека «ЧСВ» в исполнении Lida и Серега Пират, выпущенного в 2024 году.
ОСНОВНОЙ ИНТЕНТ: Найти видео с треком «ЧСВ» исполнителей Lida и Серега Пират (например, клип или музыкальное видео).
ВТОРИЧНЫЙ ИНТЕНТ: ['Посмотреть обзор или реакцию на трек «ЧСВ».', 'Найти другие треки исполнителей Lida и Серега Пират.', 'Узнать больше о создании трека или его тексте.']</t>
  </si>
  <si>
    <r>
      <rPr>
        <color rgb="FF1155CC"/>
        <u/>
      </rPr>
      <t>http://vk.com/video-72480135_456244551</t>
    </r>
    <r>
      <rPr/>
      <t xml:space="preserve">
http://vk.com/video139878426_456245099
http://www.youtube.com/watch?v=grrWLJDqr8s
http://rutube.ru/video/4bab462a378ac4c8b53a3a1b69155a3a/
http://rutube.ru/video/b1669ddcfb08bec3d92d74490835ade6/</t>
    </r>
  </si>
  <si>
    <r>
      <rPr>
        <color rgb="FF1155CC"/>
        <u/>
      </rPr>
      <t>http://rutube.ru/video/931248e70cffdhttp://rutube.ru/video/a772aa7d2c5294815353b9b3cee87c4c/</t>
    </r>
    <r>
      <rPr/>
      <t xml:space="preserve">
8e49adf2b09519a3431/
http://rutube.ru/video/220481554c00ecc0fc7b97192cf15ba2/
http://www.youtube.com/watch?v=vi4DywdqghY
http://rutube.ru/video/08afb6ca67ff33c9e8d74c6026b6d9ef/</t>
    </r>
  </si>
  <si>
    <t>http://vk.com/video-72480135_456244551
http://www.youtube.com/live/grrWLJDqr8s
http://vk.com/video139878426_456245099
http://rutube.ru/video/4bab462a378ac4c8b53a3a1b69155a3a/
http://vk.com/video-36608692_456239543</t>
  </si>
  <si>
    <t>https://s3.twcstorage.ru/bac33a93-fc8a-445a-b967-41d71601c7a5/videos/20261012T1000Z/prod-browser/0082.html</t>
  </si>
  <si>
    <t>12.10 - 2 нет доступа ютуб
04.10 - 3 нет доступа ютуб</t>
  </si>
  <si>
    <t>английский по плейлистам</t>
  </si>
  <si>
    <t>О ЧЕМ ЗАПРОС: Запрос связан с изучением английского языка с использованием плейлистов, которые могут включать уроки, песни, фильмы или другие обучающие материалы.
ОСНОВНОЙ ИНТЕНТ: Найти видео с плейлистами для изучения английского языка (уроки, песни, фильмы и т.д.).
ВТОРИЧНЫЙ ИНТЕНТ: ['Посмотреть обзоры или рекомендации плейлистов для изучения английского.', 'Найти плейлисты с определенной тематикой (например, грамматика, разговорный английский, подготовка к экзаменам).', 'Узнать, как эффективно использовать плейлисты для изучения языка.']</t>
  </si>
  <si>
    <t>http://vk.com/video-98069659_456254947
http://vk.com/video-98069659_456254948
http://vk.com/video-98069659_456254950
http://vk.com/video-98069659_456254949
http://vk.com/video-98069659_456254958</t>
  </si>
  <si>
    <t>http://vk.com/video-98069659_456254947
http://vk.com/video-98069659_456254951
http://vk.com/video-98069659_456254948
http://vk.com/video-98069659_456254949
http://vk.com/video-98069659_456254587</t>
  </si>
  <si>
    <t>https://s3.twcstorage.ru/bac33a93-fc8a-445a-b967-41d71601c7a5/videos/20261012T1000Z/prod-browser/0083.html</t>
  </si>
  <si>
    <t>nikishkinpvl</t>
  </si>
  <si>
    <t>все хорошо</t>
  </si>
  <si>
    <t>крупнокалиберный переполох</t>
  </si>
  <si>
    <t>О ЧЕМ ЗАПРОС: Запрос касается юмористического YouTube-шоу «Крупнокалиберный переполох», посвящённого обзору и нестандартному использованию советского и современного оружия. Ведущий — Алексей Смирнов (Команданте). В шоу представлены различные виды вооружения, от классических автоматов до бронетехники.
ОСНОВНОЙ ИНТЕНТ: Найти и посмотреть выпуски YouTube-шоу «Крупнокалиберный переполох»
ВТОРИЧНЫЙ ИНТЕНТ: ['Узнать больше о ведущем шоу — Алексее Смирнове (Команданте)', 'Посмотреть обзоры конкретных видов оружия, упомянутых в шоу (например, автомат Калашникова, винтовка Мосина)', 'Найти похожие юмористические или образовательные проекты об оружии']</t>
  </si>
  <si>
    <r>
      <rPr/>
      <t xml:space="preserve">http://vk.com/video-216486929_456242982
http://vk.com/video-216486929_456242840
http://vk.com/video-216486929_456242710
http://rutube.ru/video/bc6bd16bc34726315f60749b8c31ba30/
</t>
    </r>
    <r>
      <rPr>
        <color rgb="FF1155CC"/>
        <u/>
      </rPr>
      <t>http://vk.com/video-216486929_456240541</t>
    </r>
  </si>
  <si>
    <t>http://vk.com/video-216486929_456242840
http://ok.ru/video/8315273807308
http://dzen.ru/video/watch/61658c1aaa245b31978c7e9c?f=video
http://rutube.ru/video/07aa46b3a39c4b9f11fe93751063b6ab/
http://dzen.ru/video/watch/645b76f76b6c9912fafb7e19?f=video</t>
  </si>
  <si>
    <t>https://s3.twcstorage.ru/bac33a93-fc8a-445a-b967-41d71601c7a5/videos/20261012T1000Z/prod-browser/0084.html</t>
  </si>
  <si>
    <t>все доступно, все ок</t>
  </si>
  <si>
    <t>легендарные музыки из майна</t>
  </si>
  <si>
    <r>
      <rPr/>
      <t xml:space="preserve">http://vk.com/video-182961901_456243650
http://rutube.ru/video/85152eaf5771acb8d81f827c44721bfb/
http://www.youtube.com/watch?v=2hE0rumuAIw
http://vk.com/video-182961901_456243649
</t>
    </r>
    <r>
      <rPr>
        <color rgb="FF1155CC"/>
        <u/>
      </rPr>
      <t>http://rutube.ru/video/52b7436ca1f20a9b8357d789a0d36076/</t>
    </r>
  </si>
  <si>
    <t>О ЧЕМ ЗАПРОС: Пользователь ищет видео, связанные с 'легендарными музыками из майна'. Вероятно, речь идет о популярных музыкальных треках или саундтреках из игры Minecraft (сленговое название 'майн').
ОСНОВНОЙ ИНТЕНТ: Найти видео с популярными или культовыми музыкальными композициями из игры Minecraft.
ВТОРИЧНЫЙ ИНТЕНТ: ['Посмотреть обзоры или подборки лучших саундтреков Minecraft.', 'Найти клипы или видео с использованием этих музыкальных треков в Minecraft.', 'Узнать больше о создании или истории музыки в Minecraft.']</t>
  </si>
  <si>
    <t>http://www.youtube.com/watch?v=IOBXxVQRBgI
http://rutube.ru/video/05f4a08dff9e6cb316ff9a1e35c022fc/
http://vk.com/video-226978427_456239037
http://rutube.ru/video/f0a85b8bd5ab2c9f0c13b455c1b1af64/
http://www.youtube.com/watch?v=Kicn--Aea0s</t>
  </si>
  <si>
    <t>http://www.youtube.com/v/IOBXxVQRBgI
http://vk.com/video-226978427_456239037
http://vk.com/video-205987963_456241180
http://rutube.ru/video/ae71b2acbf1dc0e315933dc8f0f08607/
http://rutube.ru/video/f0a85b8bd5ab2c9f0c13b455c1b1af64/</t>
  </si>
  <si>
    <t>https://s3.twcstorage.ru/bac33a93-fc8a-445a-b967-41d71601c7a5/videos/20261012T1000Z/prod-browser/0085.html</t>
  </si>
  <si>
    <t>Запрос с не особо явным интентом, но оба серпа представили рел видео. По доступности больше контента у нового серпа (+ считаю, что все-таки тут должен быть упор на саундтреки из игры, c чем Новый справляется чуточку лучше)</t>
  </si>
  <si>
    <t>жак дюкан должны ли христиане праздновать</t>
  </si>
  <si>
    <t>О ЧЕМ ЗАПРОС: Запрос касается мнения или учения Жака Дюкана о том, должны ли христиане праздновать определенные события или следовать его диетическим рекомендациям. Жак Дюкан — французский врач, разработавший популярную диету Дюкана.
ОСНОВНОЙ ИНТЕНТ: Найти видео с мнением или учением Жака Дюкана о том, должны ли христиане праздновать определенные события или соблюдать его диету.
ВТОРИЧНЫЙ ИНТЕНТ: ['Посмотреть видео с обсуждением диеты Дюкана в контексте христианства.', 'Найти видео с критикой или поддержкой взглядов Жака Дюкана на праздники или питание.']</t>
  </si>
  <si>
    <r>
      <rPr>
        <color rgb="FF1155CC"/>
        <u/>
      </rPr>
      <t>http://vk.com/video-18320938_456239261</t>
    </r>
    <r>
      <rPr/>
      <t xml:space="preserve">
http://vk.com/video-137451265_456239036
http://ok.ru/zhiznivrem/topic/156618312872918
http://vk.com/video67300486_161662895
</t>
    </r>
    <r>
      <rPr>
        <color rgb="FF1155CC"/>
        <u/>
      </rPr>
      <t>http://dzen.ru/video/watch/6796ff01fd125c196edd270f</t>
    </r>
  </si>
  <si>
    <t>http://vk.com/video-18320938_456239261
http://vk.com/video-137451265_456239036
http://ok.ru/zhiznivrem/topic/156618312872918
http://vk.com/video67300486_161662895
http://www.youtube.com/watch?v=xU9SZXUoPbg</t>
  </si>
  <si>
    <t>https://s3.twcstorage.ru/bac33a93-fc8a-445a-b967-41d71601c7a5/videos/20261012T1000Z/prod-browser/0086.html</t>
  </si>
  <si>
    <t xml:space="preserve">Видео с названием, совпадающим с запросом, одинаковое для обоих серпов (под номером 1) не загружается. Остальные видео не решают интентов пользователя, максимум совпадают с тематикой запроса. А у выдачи 12.10 появился еще и ненужный Youtube. </t>
  </si>
  <si>
    <t>фильмы ужасов 2024 смотреть онлайн бесплатно в хорошем качестве уже вышедшие</t>
  </si>
  <si>
    <t>О ЧЕМ ЗАПРОС: Пользователь ищет фильмы ужасов, выпущенные в 2024 году, которые можно посмотреть онлайн бесплатно в хорошем качестве. В запросе указаны конкретные требования: жанр (ужасы), год выпуска (2024), возможность бесплатного просмотра и качество видео.
ОСНОВНОЙ ИНТЕНТ: Найти и посмотреть фильмы ужасов 2024 года онлайн бесплатно в хорошем качестве.
ВТОРИЧНЫЙ ИНТЕНТ: ['Узнать, какие именно фильмы ужасов 2024 года доступны для бесплатного просмотра.', 'Найти платформы или сайты, где можно легально или нелегально посмотреть эти фильмы.', 'Проверить качество доступных видео (HD 720, Full HD 1080, 4K Ultra HD).']</t>
  </si>
  <si>
    <r>
      <rPr>
        <color rgb="FF1155CC"/>
        <u/>
      </rPr>
      <t>http://vk.com/video-170817479_456246998</t>
    </r>
    <r>
      <rPr/>
      <t xml:space="preserve">
http://vk.com/video-7247392_456249606
http://vk.com/video-97731140_456239512
http://vk.com/video-170817479_456247022
http://vk.com/video-170817479_456244907</t>
    </r>
  </si>
  <si>
    <t>http://vk.com/video-97731140_456239512?t=1m17s
http://vk.com/video-170817479_456246888
http://vk.com/video-170817479_456246998
http://vk.com/video-34748216_456263903
http://vk.com/video-226335195_456239138</t>
  </si>
  <si>
    <t>https://s3.twcstorage.ru/bac33a93-fc8a-445a-b967-41d71601c7a5/videos/20261012T1000Z/prod-browser/0087.html</t>
  </si>
  <si>
    <t>Khudiaev-v</t>
  </si>
  <si>
    <t>Выдача примерно таже, фильмы поменялись местами а некоторые стали лучше. Качество в целом сохранилось.</t>
  </si>
  <si>
    <t>математика 5 класс</t>
  </si>
  <si>
    <t>Вышний Волочёк (10807)</t>
  </si>
  <si>
    <t>О ЧЕМ ЗАПРОС: Запрос касается учебных материалов по математике для 5 класса, включая объяснение тем, решение задач и дополнительные ресурсы для обучения.
ОСНОВНОЙ ИНТЕНТ: Найти видеоуроки или обучающие материалы по математике для 5 класса, объясняющие основные темы и помогающие в изучении предмета.
ВТОРИЧНЫЙ ИНТЕНТ: ['Посмотреть примеры решения задач по математике для 5 класса.', 'Найти дополнительные учебные ресурсы (ГДЗ, тесты, задания) в видеоформате.']</t>
  </si>
  <si>
    <r>
      <rPr/>
      <t xml:space="preserve">http://vk.com/video-153319648_456239082
http://rutube.ru/video/ef628d8dffd5332afaedf50f5b73cc69/
http://rutube.ru/video/7bf6502cc9fd6c3b13372dd54f14c52b/
</t>
    </r>
    <r>
      <rPr>
        <color rgb="FF1155CC"/>
        <u/>
      </rPr>
      <t>http://rutube.ru/video/b804430bd5591c09248b7ff5ea5a9c78/</t>
    </r>
    <r>
      <rPr/>
      <t xml:space="preserve">
http://dzen.ru/video/watch/69720ba9031ba0280e7e8fcc</t>
    </r>
  </si>
  <si>
    <t>http://rutube.ru/video/579de48a93879efbdb4027a2ab30a41f/
http://vk.com/video-26582877_456239336?t=8s
http://vk.com/video-26582877_456239302?t=8s
http://rutube.ru/video/1c362767751eabcb0cf356a1ed4e66e2/
http://www.youtube.com/watch?v=dDlX3IUX8Fo</t>
  </si>
  <si>
    <t>https://s3.twcstorage.ru/bac33a93-fc8a-445a-b967-41d71601c7a5/videos/20261012T1000Z/prod-browser/0088.html</t>
  </si>
  <si>
    <t>Я бы сказал, что выдача значительно улучшилась из-за не только разнообразия, что мы не оцениваем в данный момент, но из-за появления более полных и полезных роликов начиная с 3 позиции.</t>
  </si>
  <si>
    <t>gbznysq bkmlfh</t>
  </si>
  <si>
    <t>О ЧЕМ ЗАПРОС: Запрос, вероятно, является искажённым написанием имени «Приятный Ильдар» (Ильдар Хабибуллин) — белорусского видеоблогера, известного своими скетчами и рассуждениями на различные темы. Он также участвовал в шоу «Сердца за любовь» и имеет канал на YouTube.
ОСНОВНОЙ ИНТЕНТ: Найти видео с участием или созданные видеоблогером «Приятный Ильдар» (Ильдар Хабибуллин), включая его скетчи, рассуждения или участие в шоу.
ВТОРИЧНЫЙ ИНТЕНТ: ['Посмотреть клипы или пародии, снятые Ильдаром Хабибуллиным (например, клип на песню «Вирус» или пародию на «Витаминку»).', 'Найти записи с его участием в шоу «Сердца за любовь».', 'Ознакомиться с контентом его канала «Неприятный Ильдар», где публикуются видео без цензуры.']</t>
  </si>
  <si>
    <r>
      <rPr/>
      <t xml:space="preserve">http://rutube.ru/video/bf5e5747a64635334005794d316ba0ba/
http://rutube.ru/video/35a8cee6d34862973ae9c2bd10c13a5f/
http://www.youtube.com/watch?v=uDfUgxEU7bA
</t>
    </r>
    <r>
      <rPr>
        <color rgb="FF1155CC"/>
        <u/>
      </rPr>
      <t>http://vk.com/video-219286110_456240422</t>
    </r>
    <r>
      <rPr/>
      <t xml:space="preserve">
</t>
    </r>
    <r>
      <rPr>
        <color rgb="FF1155CC"/>
        <u/>
      </rPr>
      <t>http://vk.com/video-98699940_456798752</t>
    </r>
  </si>
  <si>
    <r>
      <rPr/>
      <t xml:space="preserve">http://vk.com/video-230077625_456239274
</t>
    </r>
    <r>
      <rPr>
        <color rgb="FF1155CC"/>
        <u/>
      </rPr>
      <t>http://vk.com/video-87738612_456241513</t>
    </r>
    <r>
      <rPr/>
      <t xml:space="preserve">
http://rutube.ru/video/be58d27aa8c2f46228a0646755324e3b/
http://vk.com/video-87738612_456241421
http://rutube.ru/video/f7ef4f3c04330e0b5c85914370dbecac/</t>
    </r>
  </si>
  <si>
    <t>http://vk.com/video-87738612_456241270
http://www.youtube.com/live/kZaUjMGDqRc
http://rutube.ru/video/799de7f0db1cc964486abcbb5225bbf4/
http://rutube.ru/video/cf0dab85540ebf251407ace91696f044/
http://rutube.ru/video/9af5067b11b3437c9c1c94c6abbf36a8/</t>
  </si>
  <si>
    <t>https://s3.twcstorage.ru/bac33a93-fc8a-445a-b967-41d71601c7a5/videos/20261012T1000Z/prod-browser/0089.html</t>
  </si>
  <si>
    <t>На выдаче практически теже видео но ранжирование испортилось. Вместо свежих видео наверх вылезли очень старые видео 6 летней давности.</t>
  </si>
  <si>
    <t>melly mike young black and rich</t>
  </si>
  <si>
    <t>Саранск (42)</t>
  </si>
  <si>
    <t>О ЧЕМ ЗАПРОС: Пользователь ищет видео, связанное с песней «Young Black &amp; Rich» рэпера Melly Mike, выпущенной в 2024 году. Это трек в жанре хип-хоп, который стал популярным благодаря TikTok и попал в чарты Billboard.
ОСНОВНОЙ ИНТЕНТ: Найти музыкальное видео или клип на песню «Young Black &amp; Rich» Melly Mike.
ВТОРИЧНЫЙ ИНТЕНТ: ['Посмотреть live-исполнение или выступление Melly Mike с этой песней.', 'Найти обзоры или реакции на песню «Young Black &amp; Rich».', 'Посмотреть видео с использованием песни в TikTok или других социальных сетях.']</t>
  </si>
  <si>
    <r>
      <rPr/>
      <t xml:space="preserve">http://vk.com/video-235308418_456239020
</t>
    </r>
    <r>
      <rPr>
        <color rgb="FF1155CC"/>
        <u/>
      </rPr>
      <t>http://vk.com/video-181156493_456242803</t>
    </r>
    <r>
      <rPr/>
      <t xml:space="preserve">
http://www.youtube.com/watch?v=OxLo94MWsm0
http://dzen.ru/video/watch/689108d78aee8f40ed1c9234
http://rutube.ru/video/4b9749e899e94512ce13e2940cbbbd59/</t>
    </r>
  </si>
  <si>
    <r>
      <rPr>
        <color rgb="FF1155CC"/>
        <u/>
      </rPr>
      <t>http://vk.com/video-228777060_456239062</t>
    </r>
    <r>
      <rPr/>
      <t xml:space="preserve">
http://www.youtube.com/watch?v=qteJydz5D0o
http://rutube.ru/video/5409a7fc54f12284ac49b2297e37d5cf/
</t>
    </r>
    <r>
      <rPr>
        <color rgb="FF1155CC"/>
        <u/>
      </rPr>
      <t>http://vk.com/video-144979945_456242739</t>
    </r>
    <r>
      <rPr/>
      <t xml:space="preserve">
</t>
    </r>
    <r>
      <rPr>
        <color rgb="FF1155CC"/>
        <u/>
      </rPr>
      <t>http://www.youtube.com/watch?v=P2QhW5lGQoE</t>
    </r>
  </si>
  <si>
    <t>http://vk.com/video-229111992_456243593
http://www.youtube.com/watch?v=OxLo94MWsm0
http://vk.com/video-181156493_456242803
http://dzen.ru/video/watch/689108d78aee8f40ed1c9234?f=video
http://www.youtube.com/watch?v=t2hPZbxkBZQ</t>
  </si>
  <si>
    <t>https://s3.twcstorage.ru/bac33a93-fc8a-445a-b967-41d71601c7a5/videos/20261012T1000Z/prod-browser/0090.html</t>
  </si>
  <si>
    <t>Выдача немного ухудшилась, так как на первом месте теперь видео не с 4к, а 1080. Кроме того ютуб с 3 места перешел на второе и появиля еще один ролик из ютуб, хотя роликов на других платфомах не мало.</t>
  </si>
  <si>
    <t>домовой кузя</t>
  </si>
  <si>
    <t>О ЧЕМ ЗАПРОС: Запрос связан с мультфильмом «Домовёнок Кузя», его персонажем — домовым Кужей, или возможными видео, связанными с этим мультфильмом (серии, обзоры, фан-творчество и т. д.).
ОСНОВНОЙ ИНТЕНТ: Посмотреть мультфильм «Домовёнок Кузя» или его отдельные серии.
ВТОРИЧНЫЙ ИНТЕНТ: ['Найти обзоры или анализ мультфильма «Домовёнок Кузя».', 'Посмотреть фан-видео, пародии или другие материалы, связанные с персонажем Кузей.', 'Узнать больше о создании мультфильма или его истории.']</t>
  </si>
  <si>
    <r>
      <rPr/>
      <t xml:space="preserve">http://vk.com/video-60958526_456269081
</t>
    </r>
    <r>
      <rPr>
        <color rgb="FF1155CC"/>
        <u/>
      </rPr>
      <t>http://vk.com/video-60958526_456269855</t>
    </r>
    <r>
      <rPr/>
      <t xml:space="preserve">
http://vk.com/video-60958526_456280984
http://video.mail.ru/mail/swarovski.mark/23/17242.html
http://vk.com/video-60958526_456269402</t>
    </r>
  </si>
  <si>
    <t>http://vk.com/video-60958526_456280460
http://vk.com/video-60958526_456269081
http://vk.com/video-60958526_456280984
http://vk.com/video-60958526_456269855
http://vk.com/video-60958526_456269402</t>
  </si>
  <si>
    <t>https://s3.twcstorage.ru/bac33a93-fc8a-445a-b967-41d71601c7a5/videos/20261012T1000Z/prod-browser/0091.html</t>
  </si>
  <si>
    <r>
      <rPr/>
      <t xml:space="preserve">http://vk.com/video-76914461_456245273
http://video.mail.ru/mail/rybka_rus/30/27204.html
http://ok.ru/video/2297832999481
http://video.mail.ru/mail/rybka_rus/30/27233.html
</t>
    </r>
    <r>
      <rPr>
        <color rgb="FF1155CC"/>
        <u/>
      </rPr>
      <t>http://ok.ru/video/9063083346487</t>
    </r>
  </si>
  <si>
    <t>Выдача поменялась, но в принципе показаны примерно те же страницы. Возможно, ухудшилось разнообразие, так как пропал пиратский фильм фэнтези в конце, но разнообразие не оцениваем, а расположение страниц в целом улучшилось.</t>
  </si>
  <si>
    <t>порно на кухне</t>
  </si>
  <si>
    <t>О ЧЕМ ЗАПРОС: Пользователь ищет видео порнографического содержания, снятые в кухонной обстановке. Контент предназначен только для взрослых.
ОСНОВНОЙ ИНТЕНТ: Найти видео порнографического характера, действие которого происходит на кухне.
ВТОРИЧНЫЙ ИНТЕНТ: ['Посмотреть альтернативные видео с похожей тематикой (например, другие места действия или жанры)', 'Найти сайты или платформы, специализирующиеся на подобном контенте']</t>
  </si>
  <si>
    <r>
      <rPr/>
      <t xml:space="preserve">http://semyana.cc/1084691/
http://ebalko.net/videos/152590/postavil-rakom-na-kuhne/
</t>
    </r>
    <r>
      <rPr>
        <color rgb="FF1155CC"/>
        <u/>
      </rPr>
      <t>http://vk.com/video-223859787_456247814</t>
    </r>
    <r>
      <rPr/>
      <t xml:space="preserve">
http://gg.spreee.name/1093864/
http://ebalko.net/videos/51511/kuhonnyy-seks-s-molodenkoy-sojitelnicey/</t>
    </r>
  </si>
  <si>
    <t>http://ebalka.fun/videos/198661/kuhonnyy-trah/
http://strip2.in/video/5861236/
http://sex.myspree.club/1116288/
http://pornobomba.in/videos/domashniy-seks-s-goloy-krasotkoy-na-kuhne/
http://ebalka.fun/videos/98244/puhluyu-trahaet-na-kuhne/</t>
  </si>
  <si>
    <t>https://s3.twcstorage.ru/bac33a93-fc8a-445a-b967-41d71601c7a5/videos/20261012T1000Z/prod-browser/0092.html</t>
  </si>
  <si>
    <t>Мне показалось, что выдача немного улучшилась за счет более разнообразных видео в верхней части выдачи.</t>
  </si>
  <si>
    <t>колхоз дело добровольное</t>
  </si>
  <si>
    <t>О ЧЕМ ЗАПРОС: Запрос связан с известной цитатой из романа «Поднятая целина» Шолохова, которая отражает эпоху коллективизации в СССР. Пользователь, вероятно, ищет видео, где упоминается или обсуждается эта фраза, её происхождение или исторический контекст.
ОСНОВНОЙ ИНТЕНТ: Найти видео, где упоминается или обсуждается цитата «Колхоз — дело добровольное» из романа «Поднятая целина» Шолохова, её значение или исторический контекст.
ВТОРИЧНЫЙ ИНТЕНТ: ['Посмотреть видео с анализом эпохи коллективизации в СССР, где могла бы упоминаться эта цитата.', 'Найти отрывки из экранизаций «Поднятой целины», где звучит эта фраза.', 'Узнать больше о фразеологизмах, связанных с советской историей, через видеоформат.']</t>
  </si>
  <si>
    <t>http://vk.com/video-170454640_456240107
http://rutube.ru/video/b3c6e312a17a0bf2b82ab81f6e18ade3/
http://rutube.ru/video/beceaf82c42a608b7d0a8c25f6dfc34f/
http://vk.com/video-170454640_456240103
http://vk.com/video-170454640_456240102</t>
  </si>
  <si>
    <t>http://rutube.ru/video/c45dd82eeb1c31a6d65900eb4f8736ae/
http://rutube.ru/video/190e26115aaf9f413afa1b4004b9e104/
http://rutube.ru/video/e79926526f0d02f6fc609f0aca393fe8/
http://dzen.ru/video/watch/62add4d872b6b46d1e4e71d9?comment-request=1&amp;f=video
http://vk.com/video-170454640_456240113</t>
  </si>
  <si>
    <t>https://s3.twcstorage.ru/bac33a93-fc8a-445a-b967-41d71601c7a5/videos/20261012T1000Z/prod-browser/0093.html</t>
  </si>
  <si>
    <r>
      <rPr/>
      <t xml:space="preserve">http://rutube.ru/video/d33866d7a9b815a479d8da50cbaf4138/
http://rutube.ru/video/3e910b634c43182d70dd9103cc6ce0a3/
http://www.youtube.com/watch?v=xmzdEP8Ubnc
</t>
    </r>
    <r>
      <rPr>
        <color rgb="FF1155CC"/>
        <u/>
      </rPr>
      <t>http://vk.com/video-166884737_456277802</t>
    </r>
    <r>
      <rPr/>
      <t xml:space="preserve">
http://www.youtube.com/watch?v=ls9xUJEXzBk</t>
    </r>
  </si>
  <si>
    <t>Выдача значительно улучшилась. Появились более свежие видео, причем свежие видео теперь наверху, а было перемешано.</t>
  </si>
  <si>
    <t>нпвс для спины таблетки</t>
  </si>
  <si>
    <t>Каневская (21129)</t>
  </si>
  <si>
    <t>О ЧЕМ ЗАПРОС: Запрос касается нестероидных противовоспалительных средств (НПВС) в форме таблеток, которые используются для лечения болей в спине. В описании перечислены основные препараты этой группы, их торговые названия и указано на необходимость консультации с врачом перед применением.
ОСНОВНОЙ ИНТЕНТ: Найти видео с информацией о НПВС в таблетках для лечения болей в спине, включая обзоры препаратов, их действие, показания и противопоказания.
ВТОРИЧНЫЙ ИНТЕНТ: ['Посмотреть видео с инструкциями по применению конкретных НПВС (например, «Диклофенак», «Ибупрофен»).', 'Найти видео с советами врачей или специалистов о выборе НПВС при болях в спине.', 'Посмотреть видео о побочных эффектах и мерах предосторожности при приёме НПВС.']</t>
  </si>
  <si>
    <t>http://dzen.ru/video/watch/684877a063a6124524f0bb1d
http://rutube.ru/video/7607f444c7604cd9fb19ce6673d1de02/
http://dzen.ru/video/watch/6478111c7a508645002be0bc
http://vk.com/video-112926152_456239064
http://rutube.ru/video/301a8e39e8cb3f8e9b457a819e22d720/</t>
  </si>
  <si>
    <t>http://rutube.ru/video/e43efcaa4f0fe42b897a1de96870ce88/
http://dzen.ru/video/watch/6478111c7a508645002be0bc?collection=author%3Ae64e4911-3c5a-4761-9276-56b033168221&amp;f=video&amp;order=reverse
http://rutube.ru/video/7607f444c7604cd9fb19ce6673d1de02/
http://rutube.ru/video/301a8e39e8cb3f8e9b457a819e22d720/
http://www.youtube.com/watch?v=XRLrBo-iWSI</t>
  </si>
  <si>
    <t>https://s3.twcstorage.ru/bac33a93-fc8a-445a-b967-41d71601c7a5/videos/20261012T1000Z/prod-browser/0094.html</t>
  </si>
  <si>
    <t>Выдача немного изменилась, но вцелом остались такие же по полезности страницы. Единственная проблема, что появился необязательный ютуб, хотя он появился в саммом низу и возможно я сильно занизил.</t>
  </si>
  <si>
    <t>петурии поздней посадки</t>
  </si>
  <si>
    <t>О ЧЕМ ЗАПРОС: Запрос касается особенностей посадки петуний в поздние сроки (например, в июне), включая рекомендации по уходу, возможные ошибки и их исправление. Основной акцент на том, как добиться успешного цветения при поздней посадке.
ОСНОВНОЙ ИНТЕНТ: Найти видео с инструкцией по посадке петуний в поздние сроки (июнь или позже), включая подготовку грунта, посев семян, уход и возможные проблемы.
ВТОРИЧНЫЙ ИНТЕНТ: ['Посмотреть видео с обзором сортов петуний, наиболее подходящих для поздней посадки.', 'Найти видео с советами по уходу за петуниями при недостатке естественного освещения (использование фитоламп).', 'Посмотреть видео с разбором типичных ошибок при поздней посадке петуний и способами их исправления.']</t>
  </si>
  <si>
    <r>
      <rPr/>
      <t xml:space="preserve">http://www.youtube.com/watch?v=Fibg_1mosx4
http://dzen.ru/video/watch/61f84db666d4ec263d3e9b66
http://ok.ru/video/246522512862
</t>
    </r>
    <r>
      <rPr>
        <color rgb="FF1155CC"/>
        <u/>
      </rPr>
      <t>http://rutube.ru/video/c8d3ee4f61ff0083e93459a2262913c4/</t>
    </r>
    <r>
      <rPr/>
      <t xml:space="preserve">
http://dzen.ru/video/watch/6058e5d0227362076753df75</t>
    </r>
  </si>
  <si>
    <t>danisimova01</t>
  </si>
  <si>
    <t>http://www.youtube.com/watch?v=Fibg_1mosx4
http://dzen.ru/video/watch/61f84db666d4ec263d3e9b66?f=video
http://ok.ru/video/246522512862
http://dzen.ru/video/watch/6a1f031f8994a84076df809d?f=video
http://ok.ru/video/1257212350789</t>
  </si>
  <si>
    <t>https://s3.twcstorage.ru/bac33a93-fc8a-445a-b967-41d71601c7a5/videos/20261012T1000Z/prod-browser/0095.html</t>
  </si>
  <si>
    <r>
      <rPr>
        <color rgb="FF1155CC"/>
        <u/>
      </rPr>
      <t>http://vk.com/video-72480135_456244551</t>
    </r>
    <r>
      <rPr/>
      <t xml:space="preserve">
http://vk.com/video139878426_456245099
http://www.youtube.com/watch?v=grrWLJDqr8s
http://rutube.ru/video/4bab462a378ac4c8b53a3a1b69155a3a/
http://rutube.ru/video/b1669ddcfb08bec3d92d74490835ade6/</t>
    </r>
  </si>
  <si>
    <t>Выдача улучшилась. На первой позиции был ютуб, теперь там то же самое хорошее видео с рутуба. На 4 позиции теперь более свежее и качемтвенное видео.</t>
  </si>
  <si>
    <t>арма 3 локальная сеть</t>
  </si>
  <si>
    <t>Республика Крым (977)</t>
  </si>
  <si>
    <t>О ЧЕМ ЗАПРОС: Запрос посвящен настройке и использованию локальной сети в игре Arma 3 для совместной игры. Включает инструкции по созданию сервера, выбору параметров (карта, тип матча и др.), а также подключению к нему. Упоминается использование сторонних программ, таких как Radmin VPN, для организации локальной сети.
ОСНОВНОЙ ИНТЕНТ: Найти видеоинструкцию по настройке локального сервера в Arma 3 для игры в локальной сети.
ВТОРИЧНЫЙ ИНТЕНТ: ['Посмотреть обзор или руководство по использованию программ типа Radmin VPN для организации локальной сети в Arma 3.', 'Узнать о возможных проблемах и их решениях при настройке локального сервера в Arma 3.', 'Найти видео с примерами игрового процесса в локальной сети Arma 3.']</t>
  </si>
  <si>
    <r>
      <rPr/>
      <t xml:space="preserve">http://rutube.ru/video/125f7a94916e1a96390087299703b50e/
http://rutube.ru/video/5b9eef232f74e6edc96786bdcfb83901/
</t>
    </r>
    <r>
      <rPr>
        <color rgb="FF1155CC"/>
        <u/>
      </rPr>
      <t>http://rutube.ru/video/25300749cec3c24b5648da9c309cde35/</t>
    </r>
    <r>
      <rPr/>
      <t xml:space="preserve">
http://video.mail.ru/yandex.ru/korinko2014/video/_vanswers/1.html
http://rutube.ru/video/4b7b5c09e769b4bf26131f75ed72d513/</t>
    </r>
  </si>
  <si>
    <t>http://rutube.ru/video/125f7a94916e1a96390087299703b50e/
http://rutube.ru/video/5b9eef232f74e6edc96786bdcfb83901/
http://rutube.ru/video/25300749cec3c24b5648da9c309cde35/
http://video.mail.ru/yandex.ru/korinko2014/video/_vanswers/1.html
http://rutube.ru/video/4b7b5c09e769b4bf26131f75ed72d513/</t>
  </si>
  <si>
    <t>https://s3.twcstorage.ru/bac33a93-fc8a-445a-b967-41d71601c7a5/videos/20261012T1000Z/prod-browser/0096.html</t>
  </si>
  <si>
    <t>Выдача та же, но на 4 позиции было недоступное видео, теперь оно доступно.</t>
  </si>
  <si>
    <t>явлинский</t>
  </si>
  <si>
    <t>О ЧЕМ ЗАПРОС: Запрос касается Григория Явлинского — российского политика и экономиста, известного своей программой экономических реформ «500 дней», руководством партией «Яблоко» и участием в президентских выборах.
ОСНОВНОЙ ИНТЕНТ: Найти видео, связанные с Григорием Явлинским: его выступления, интервью, документальные фильмы или новостные сюжеты о его деятельности.
ВТОРИЧНЫЙ ИНТЕНТ: ['Посмотреть видео с анализом его экономической программы «500 дней».', 'Найти записи его участия в дебатах или предвыборных кампаниях.', 'Посмотреть документальные фильмы или репортажи о партии «Яблоко» и её деятельности.']</t>
  </si>
  <si>
    <r>
      <rPr/>
      <t xml:space="preserve">http://dzen.ru/video/watch/6997298dcd37d31924e715c5
http://dzen.ru/video/watch/69c1ef8e9422a677d7e0da5b
http://vk.com/video-40256852_456249874
</t>
    </r>
    <r>
      <rPr>
        <color rgb="FF1155CC"/>
        <u/>
      </rPr>
      <t>http://www.youtube.com/watch?v=hOAr-h7vYpE</t>
    </r>
    <r>
      <rPr/>
      <t xml:space="preserve">
http://vk.com/video-23712441_456240525</t>
    </r>
  </si>
  <si>
    <t>http://dzen.ru/video/watch/6997298dcd37d31924e715c5?f=video
http://www.youtube.com/watch?v=aY81Woul0EU
http://www.youtube.com/v/hOAr-h7vYpE
http://www.youtube.com/v/COWMWm3WgVI
http://rutube.ru/video/892fdf8419df809bb4c7803fb296048b/</t>
  </si>
  <si>
    <t>https://s3.twcstorage.ru/bac33a93-fc8a-445a-b967-41d71601c7a5/videos/20261012T1000Z/prod-browser/0097.html</t>
  </si>
  <si>
    <t>Выдача испортилась. На верх вылезли дреевние видео 10 летней давности и одно из них из ютуба. Ранжирование сломалось, но нерелов нет.</t>
  </si>
  <si>
    <t>обыщите деревню миньюй</t>
  </si>
  <si>
    <r>
      <rPr/>
      <t xml:space="preserve">http://vk.com/video-216486929_456242982
http://vk.com/video-216486929_456242840
http://vk.com/video-216486929_456242710
http://rutube.ru/video/bc6bd16bc34726315f60749b8c31ba30/
</t>
    </r>
    <r>
      <rPr>
        <color rgb="FF1155CC"/>
        <u/>
      </rPr>
      <t>http://vk.com/video-216486929_456240541</t>
    </r>
  </si>
  <si>
    <t>О ЧЕМ ЗАПРОС: Запрос относится к игровому квесту в Genshin Impact, где игрок должен исследовать деревню Миньюнь, найти четыре наставления, сразиться с врагами и получить награды. Это часть квеста «Одинокое дерево».
ОСНОВНОЙ ИНТЕНТ: Найти видео с прохождением задания «Обыщите деревню Миньюнь» в Genshin Impact, чтобы понять, как выполнить квест.
ВТОРИЧНЫЙ ИНТЕНТ: ['Посмотреть обзор или гайд по квесту «Одинокое дерево» в Genshin Impact.', 'Узнать, где находятся все наставления и как их собрать.', 'Найти видео с битвой против Похитителей сокровищ и получением наград.']</t>
  </si>
  <si>
    <r>
      <rPr/>
      <t xml:space="preserve">http://rutube.ru/video/a5279809b4a3b1b5fc446a09a91ca0e3/
</t>
    </r>
    <r>
      <rPr>
        <color rgb="FF1155CC"/>
        <u/>
      </rPr>
      <t>http://rutube.ru/video/f9da56c9f4e704e6cbab7ab6777c65ea/</t>
    </r>
    <r>
      <rPr/>
      <t xml:space="preserve">
http://rutube.ru/video/f4581c02b77a8c99d391eac1d9316a12/
http://vk.com/video-211921381_456239036
http://www.youtube.com/watch?v=3_vzmtdUZ7I</t>
    </r>
  </si>
  <si>
    <t>http://rutube.ru/video/a5279809b4a3b1b5fc446a09a91ca0e3/
http://vk.com/video-220076891_456240454?t=1s
http://rutube.ru/video/f9da56c9f4e704e6cbab7ab6777c65ea/
http://rutube.ru/video/f4581c02b77a8c99d391eac1d9316a12/
http://vk.com/video-211921381_456239036</t>
  </si>
  <si>
    <t>https://s3.twcstorage.ru/bac33a93-fc8a-445a-b967-41d71601c7a5/videos/20261012T1000Z/prod-browser/0098.html</t>
  </si>
  <si>
    <t>Выдача улучшилась. Ушел бесполезный ютуб, видео с плохим качеством сместилось вниз и появилось еще одно хорошее видео.</t>
  </si>
  <si>
    <t>плейлист песни дисней</t>
  </si>
  <si>
    <t>О ЧЕМ ЗАПРОС: Запрос связан с поиском музыкальных композиций из произведений Disney, собранных в виде плейлиста. Disney известен своими песнями из мультфильмов и фильмов, которые стали культовыми.
ОСНОВНОЙ ИНТЕНТ: Найти видео с плейлистом песен из фильмов и мультфильмов Disney, чтобы слушать или смотреть клипы.
ВТОРИЧНЫЙ ИНТЕНТ: ['Посмотреть отдельные клипы или сцены с песнями из Disney', 'Найти сборники лучших песен Disney за разные годы', 'Узнать о новых или редких песнях Disney, которые редко включают в стандартные плейлисты']</t>
  </si>
  <si>
    <r>
      <rPr/>
      <t xml:space="preserve">http://ok.ru/video/3793775626970
http://vk.com/video-9782227_171247143
</t>
    </r>
    <r>
      <rPr>
        <color rgb="FF1155CC"/>
        <u/>
      </rPr>
      <t>http://rutube.ru/video/582ca97a033c5d1cb1be80f6b71b07a4/</t>
    </r>
    <r>
      <rPr/>
      <t xml:space="preserve">
http://vk.com/video-234512490_456246997
http://vk.com/video-224743659_456239193</t>
    </r>
  </si>
  <si>
    <t>http://ok.ru/video/3793775626970
http://vk.com/video-9782227_171247143
http://rutube.ru/video/582ca97a033c5d1cb1be80f6b71b07a4/
http://www.youtube.com/watch?v=9TrPDmRpI58
http://vk.com/video-224743659_456239193</t>
  </si>
  <si>
    <t>https://s3.twcstorage.ru/bac33a93-fc8a-445a-b967-41d71601c7a5/videos/20261012T1000Z/prod-browser/0099.html</t>
  </si>
  <si>
    <t>На 4 позиции появился бесполезный Ютуб, на 04.10 было почти тоже самое на российской платформе. но вцелом ОК.</t>
  </si>
  <si>
    <t>золотое дно сериал с 2024 г. актёры</t>
  </si>
  <si>
    <t>О ЧЕМ ЗАПРОС: Запрос касается актёрского состава сериала «Золотое дно», который вышел в 2024 году. Пользователь хочет узнать, кто играет главные роли в этом сериале.
ОСНОВНОЙ ИНТЕНТ: Найти видео с информацией об актёрском составе сериала «Золотое дно» (2024), включая имена актёров и их роли.
ВТОРИЧНЫЙ ИНТЕНТ: ['Посмотреть трейлер или отрывки из сериала с участием конкретных актёров.', 'Узнать дополнительную информацию о сериале, например, сюжет или рейтинги.', 'Найти интервью или закулисные материалы с актёрами сериала.']</t>
  </si>
  <si>
    <t>http://vk.com/video-15106510_456308020
http://vk.com/video-149474180_456246580
http://vk.com/video-149474180_456246000
http://www.youtube.com/watch?v=_KTYWJCQtK0
http://dzen.ru/video/watch/661917e6a8e5ee6a9ace99f4</t>
  </si>
  <si>
    <t>http://vk.com/video-15106510_456308020?ref_domain=tvseriya.tv
http://vk.com/video-149474180_456246580
http://vk.com/video-149474180_456246000
http://rutube.ru/video/a9518c7bde536dafbdb4c4333827fa50/
http://www.youtube.com/live/_KTYWJCQtK0</t>
  </si>
  <si>
    <t>https://s3.twcstorage.ru/bac33a93-fc8a-445a-b967-41d71601c7a5/videos/20261012T1000Z/prod-browser/0100.html</t>
  </si>
  <si>
    <r>
      <rPr>
        <color rgb="FF1155CC"/>
        <u/>
      </rPr>
      <t>http://vk.com/video-18320938_456239261</t>
    </r>
    <r>
      <rPr/>
      <t xml:space="preserve">
http://vk.com/video-137451265_456239036
http://ok.ru/zhiznivrem/topic/156618312872918
http://vk.com/video67300486_161662895
</t>
    </r>
    <r>
      <rPr>
        <color rgb="FF1155CC"/>
        <u/>
      </rPr>
      <t>http://dzen.ru/video/watch/6796ff01fd125c196edd270f</t>
    </r>
  </si>
  <si>
    <t>Выдачи практически равны. Малополезный ютуб перешел с 4 позиции на 5.</t>
  </si>
  <si>
    <r>
      <rPr>
        <color rgb="FF1155CC"/>
        <u/>
      </rPr>
      <t>http://vk.com/video-170817479_456246998</t>
    </r>
    <r>
      <rPr/>
      <t xml:space="preserve">
http://vk.com/video-7247392_456249606
http://vk.com/video-97731140_456239512
http://vk.com/video-170817479_456247022
http://vk.com/video-170817479_456244907</t>
    </r>
  </si>
  <si>
    <r>
      <rPr/>
      <t xml:space="preserve">http://vk.com/video-153319648_456239082
http://rutube.ru/video/ef628d8dffd5332afaedf50f5b73cc69/
http://rutube.ru/video/7bf6502cc9fd6c3b13372dd54f14c52b/
</t>
    </r>
    <r>
      <rPr>
        <color rgb="FF1155CC"/>
        <u/>
      </rPr>
      <t>http://rutube.ru/video/b804430bd5591c09248b7ff5ea5a9c78/</t>
    </r>
    <r>
      <rPr/>
      <t xml:space="preserve">
http://dzen.ru/video/watch/69720ba9031ba0280e7e8fcc</t>
    </r>
  </si>
  <si>
    <r>
      <rPr/>
      <t xml:space="preserve">http://vk.com/video-230077625_456239274
</t>
    </r>
    <r>
      <rPr>
        <color rgb="FF1155CC"/>
        <u/>
      </rPr>
      <t>http://vk.com/video-87738612_456241513</t>
    </r>
    <r>
      <rPr/>
      <t xml:space="preserve">
http://rutube.ru/video/be58d27aa8c2f46228a0646755324e3b/
http://vk.com/video-87738612_456241421
http://rutube.ru/video/f7ef4f3c04330e0b5c85914370dbecac/</t>
    </r>
  </si>
  <si>
    <r>
      <rPr/>
      <t xml:space="preserve">http://vk.com/video-235308418_456239020
</t>
    </r>
    <r>
      <rPr>
        <color rgb="FF1155CC"/>
        <u/>
      </rPr>
      <t>http://vk.com/video-181156493_456242803</t>
    </r>
    <r>
      <rPr/>
      <t xml:space="preserve">
http://www.youtube.com/watch?v=OxLo94MWsm0
http://dzen.ru/video/watch/689108d78aee8f40ed1c9234
http://rutube.ru/video/4b9749e899e94512ce13e2940cbbbd59/</t>
    </r>
  </si>
  <si>
    <r>
      <rPr/>
      <t xml:space="preserve">http://vk.com/video-60958526_456269081
</t>
    </r>
    <r>
      <rPr>
        <color rgb="FF1155CC"/>
        <u/>
      </rPr>
      <t>http://vk.com/video-60958526_456269855</t>
    </r>
    <r>
      <rPr/>
      <t xml:space="preserve">
http://vk.com/video-60958526_456280984
http://video.mail.ru/mail/swarovski.mark/23/17242.html
http://vk.com/video-60958526_456269402</t>
    </r>
  </si>
  <si>
    <t>vadimshub</t>
  </si>
  <si>
    <r>
      <rPr/>
      <t xml:space="preserve">http://semyana.cc/1084691/
http://ebalko.net/videos/152590/postavil-rakom-na-kuhne/
</t>
    </r>
    <r>
      <rPr>
        <color rgb="FF1155CC"/>
        <u/>
      </rPr>
      <t>http://vk.com/video-223859787_456247814</t>
    </r>
    <r>
      <rPr/>
      <t xml:space="preserve">
http://gg.spreee.name/1093864/
http://ebalko.net/videos/51511/kuhonnyy-seks-s-molodenkoy-sojitelnicey/</t>
    </r>
  </si>
  <si>
    <r>
      <rPr/>
      <t xml:space="preserve">http://www.youtube.com/watch?v=Fibg_1mosx4
http://dzen.ru/video/watch/61f84db666d4ec263d3e9b66
http://ok.ru/video/246522512862
</t>
    </r>
    <r>
      <rPr>
        <color rgb="FF1155CC"/>
        <u/>
      </rPr>
      <t>http://rutube.ru/video/c8d3ee4f61ff0083e93459a2262913c4/</t>
    </r>
    <r>
      <rPr/>
      <t xml:space="preserve">
http://dzen.ru/video/watch/6058e5d0227362076753df75</t>
    </r>
  </si>
  <si>
    <r>
      <rPr/>
      <t xml:space="preserve">http://rutube.ru/video/125f7a94916e1a96390087299703b50e/
http://rutube.ru/video/5b9eef232f74e6edc96786bdcfb83901/
</t>
    </r>
    <r>
      <rPr>
        <color rgb="FF1155CC"/>
        <u/>
      </rPr>
      <t>http://rutube.ru/video/25300749cec3c24b5648da9c309cde35/</t>
    </r>
    <r>
      <rPr/>
      <t xml:space="preserve">
http://video.mail.ru/yandex.ru/korinko2014/video/_vanswers/1.html
http://rutube.ru/video/4b7b5c09e769b4bf26131f75ed72d513/</t>
    </r>
  </si>
  <si>
    <r>
      <rPr/>
      <t xml:space="preserve">http://dzen.ru/video/watch/6997298dcd37d31924e715c5
http://dzen.ru/video/watch/69c1ef8e9422a677d7e0da5b
http://vk.com/video-40256852_456249874
</t>
    </r>
    <r>
      <rPr>
        <color rgb="FF1155CC"/>
        <u/>
      </rPr>
      <t>http://www.youtube.com/watch?v=hOAr-h7vYpE</t>
    </r>
    <r>
      <rPr/>
      <t xml:space="preserve">
http://vk.com/video-23712441_456240525</t>
    </r>
  </si>
  <si>
    <r>
      <rPr/>
      <t xml:space="preserve">http://rutube.ru/video/a5279809b4a3b1b5fc446a09a91ca0e3/
</t>
    </r>
    <r>
      <rPr>
        <color rgb="FF1155CC"/>
        <u/>
      </rPr>
      <t>http://rutube.ru/video/f9da56c9f4e704e6cbab7ab6777c65ea/</t>
    </r>
    <r>
      <rPr/>
      <t xml:space="preserve">
http://rutube.ru/video/f4581c02b77a8c99d391eac1d9316a12/
http://vk.com/video-211921381_456239036
http://www.youtube.com/watch?v=3_vzmtdUZ7I</t>
    </r>
  </si>
  <si>
    <r>
      <rPr/>
      <t xml:space="preserve">http://ok.ru/video/3793775626970
http://vk.com/video-9782227_171247143
</t>
    </r>
    <r>
      <rPr>
        <color rgb="FF1155CC"/>
        <u/>
      </rPr>
      <t>http://rutube.ru/video/582ca97a033c5d1cb1be80f6b71b07a4/</t>
    </r>
    <r>
      <rPr/>
      <t xml:space="preserve">
http://vk.com/video-234512490_456246997
http://vk.com/video-224743659_456239193</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</si>
</sst>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1"/>
      <name val="Arial"/>
      <scheme val="minor"/>
    </font>
    <font>
      <sz val="16.0"/>
      <color theme="1"/>
      <name val="Arial"/>
      <scheme val="minor"/>
    </font>
    <font>
      <b/>
      <color theme="1"/>
      <name val="Arial"/>
      <scheme val="minor"/>
    </font>
    <font>
      <color theme="1"/>
      <name val="Arial"/>
      <scheme val="minor"/>
    </font>
    <font/>
    <font>
      <u/>
      <sz val="16.0"/>
      <color rgb="FF0000FF"/>
    </font>
    <font>
      <b/>
      <color theme="1"/>
      <name val="Arial"/>
    </font>
    <font>
      <b/>
      <sz val="8.0"/>
      <color theme="1"/>
      <name val="Arial"/>
      <scheme val="minor"/>
    </font>
    <font>
      <u/>
      <color rgb="FF0000FF"/>
    </font>
    <font>
      <u/>
      <color rgb="FF0000FF"/>
    </font>
    <font>
      <u/>
      <color rgb="FF0000FF"/>
    </font>
    <font>
      <sz val="10.0"/>
      <color rgb="FF000000"/>
      <name val="&quot;YS Text&quot;"/>
    </font>
    <font>
      <u/>
      <color rgb="FF0000FF"/>
    </font>
  </fonts>
  <fills count="4">
    <fill>
      <patternFill patternType="none"/>
    </fill>
    <fill>
      <patternFill patternType="lightGray"/>
    </fill>
    <fill>
      <patternFill patternType="solid">
        <fgColor rgb="FFD9EAD3"/>
        <bgColor rgb="FFD9EAD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xf>
    <xf borderId="0" fillId="0" fontId="2" numFmtId="0" xfId="0" applyFont="1"/>
    <xf borderId="0" fillId="0" fontId="3" numFmtId="2" xfId="0" applyAlignment="1" applyFont="1" applyNumberFormat="1">
      <alignment shrinkToFit="0" wrapText="0"/>
    </xf>
    <xf borderId="0" fillId="0" fontId="3" numFmtId="0" xfId="0" applyAlignment="1" applyFont="1">
      <alignment shrinkToFit="0" wrapText="0"/>
    </xf>
    <xf borderId="0" fillId="0" fontId="3" numFmtId="0" xfId="0" applyAlignment="1" applyFont="1">
      <alignment readingOrder="0" shrinkToFit="0" wrapText="0"/>
    </xf>
    <xf borderId="0" fillId="0" fontId="3" numFmtId="2" xfId="0" applyAlignment="1" applyFont="1" applyNumberFormat="1">
      <alignment readingOrder="0" shrinkToFit="0" wrapText="0"/>
    </xf>
    <xf borderId="1" fillId="0" fontId="3" numFmtId="0" xfId="0" applyAlignment="1" applyBorder="1" applyFont="1">
      <alignment horizontal="center" readingOrder="0" vertical="center"/>
    </xf>
    <xf borderId="0" fillId="0" fontId="4" numFmtId="0" xfId="0" applyAlignment="1" applyFont="1">
      <alignment readingOrder="0" shrinkToFit="0" wrapText="0"/>
    </xf>
    <xf borderId="2" fillId="0" fontId="5" numFmtId="0" xfId="0" applyBorder="1" applyFont="1"/>
    <xf borderId="3" fillId="0" fontId="5" numFmtId="0" xfId="0" applyBorder="1" applyFont="1"/>
    <xf borderId="1" fillId="0" fontId="3" numFmtId="0" xfId="0" applyAlignment="1" applyBorder="1" applyFont="1">
      <alignment horizontal="center" readingOrder="0" shrinkToFit="0" vertical="center" wrapText="0"/>
    </xf>
    <xf borderId="2" fillId="0" fontId="3" numFmtId="0" xfId="0" applyAlignment="1" applyBorder="1" applyFont="1">
      <alignment horizontal="center" readingOrder="0" vertical="center"/>
    </xf>
    <xf borderId="0" fillId="0" fontId="4" numFmtId="2" xfId="0" applyAlignment="1" applyFont="1" applyNumberFormat="1">
      <alignment shrinkToFit="0" wrapText="0"/>
    </xf>
    <xf borderId="0" fillId="0" fontId="3" numFmtId="0" xfId="0" applyAlignment="1" applyFont="1">
      <alignment horizontal="center" vertical="center"/>
    </xf>
    <xf borderId="4" fillId="0" fontId="3" numFmtId="0" xfId="0" applyAlignment="1" applyBorder="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0"/>
    </xf>
    <xf borderId="4" fillId="0" fontId="3" numFmtId="0" xfId="0" applyAlignment="1" applyBorder="1" applyFont="1">
      <alignment horizontal="center" readingOrder="0" shrinkToFit="0" vertical="center" wrapText="0"/>
    </xf>
    <xf borderId="0" fillId="0" fontId="6" numFmtId="0" xfId="0" applyAlignment="1" applyFont="1">
      <alignment readingOrder="0"/>
    </xf>
    <xf borderId="5" fillId="0" fontId="3" numFmtId="0" xfId="0" applyAlignment="1" applyBorder="1" applyFont="1">
      <alignment horizontal="center" readingOrder="0" shrinkToFit="0" vertical="center" wrapText="0"/>
    </xf>
    <xf borderId="0" fillId="0" fontId="7" numFmtId="0" xfId="0" applyAlignment="1" applyFont="1">
      <alignment horizontal="center" vertical="center"/>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5" fillId="0" fontId="3" numFmtId="0" xfId="0" applyAlignment="1" applyBorder="1" applyFont="1">
      <alignment horizontal="center" readingOrder="0" vertical="center"/>
    </xf>
    <xf borderId="4" fillId="0" fontId="4" numFmtId="0" xfId="0" applyAlignment="1" applyBorder="1" applyFont="1">
      <alignment readingOrder="0" shrinkToFit="0" wrapText="0"/>
    </xf>
    <xf borderId="4" fillId="0" fontId="4" numFmtId="0" xfId="0" applyAlignment="1" applyBorder="1" applyFont="1">
      <alignment readingOrder="0" shrinkToFit="0" wrapText="0"/>
    </xf>
    <xf borderId="0" fillId="0" fontId="4" numFmtId="0" xfId="0" applyAlignment="1" applyFont="1">
      <alignment readingOrder="0" shrinkToFit="0" wrapText="0"/>
    </xf>
    <xf borderId="0" fillId="0" fontId="4" numFmtId="0" xfId="0" applyAlignment="1" applyFont="1">
      <alignment readingOrder="0" shrinkToFit="0" wrapText="0"/>
    </xf>
    <xf borderId="4" fillId="0" fontId="9" numFmtId="0" xfId="0" applyAlignment="1" applyBorder="1" applyFont="1">
      <alignment readingOrder="0" shrinkToFit="0" wrapText="0"/>
    </xf>
    <xf borderId="0" fillId="2" fontId="4" numFmtId="2" xfId="0" applyAlignment="1" applyFill="1" applyFont="1" applyNumberFormat="1">
      <alignment shrinkToFit="0" wrapText="0"/>
    </xf>
    <xf borderId="5" fillId="0" fontId="10" numFmtId="0" xfId="0" applyAlignment="1" applyBorder="1" applyFont="1">
      <alignment readingOrder="0" shrinkToFit="0" wrapText="0"/>
    </xf>
    <xf borderId="5" fillId="0" fontId="4" numFmtId="0" xfId="0" applyAlignment="1" applyBorder="1" applyFont="1">
      <alignment readingOrder="0" shrinkToFit="0" wrapText="0"/>
    </xf>
    <xf borderId="0" fillId="0" fontId="4" numFmtId="0" xfId="0" applyAlignment="1" applyFont="1">
      <alignment shrinkToFit="0" wrapText="0"/>
    </xf>
    <xf borderId="5" fillId="0" fontId="11" numFmtId="0" xfId="0" applyAlignment="1" applyBorder="1" applyFont="1">
      <alignment readingOrder="0" shrinkToFit="0" wrapText="0"/>
    </xf>
    <xf borderId="5" fillId="0" fontId="4" numFmtId="0" xfId="0" applyAlignment="1" applyBorder="1" applyFont="1">
      <alignment readingOrder="0" shrinkToFit="0" wrapText="0"/>
    </xf>
    <xf borderId="0" fillId="0" fontId="4" numFmtId="2" xfId="0" applyFont="1" applyNumberFormat="1"/>
    <xf borderId="0" fillId="0" fontId="3" numFmtId="0" xfId="0" applyAlignment="1" applyFont="1">
      <alignment readingOrder="0"/>
    </xf>
    <xf borderId="0" fillId="0" fontId="4" numFmtId="0" xfId="0" applyAlignment="1" applyFont="1">
      <alignment readingOrder="0"/>
    </xf>
    <xf borderId="0" fillId="0" fontId="4" numFmtId="2" xfId="0" applyAlignment="1" applyFont="1" applyNumberFormat="1">
      <alignment readingOrder="0"/>
    </xf>
    <xf borderId="0" fillId="0" fontId="3" numFmtId="2" xfId="0" applyFont="1" applyNumberFormat="1"/>
    <xf borderId="0" fillId="2" fontId="4" numFmtId="2" xfId="0" applyFill="1" applyFont="1" applyNumberFormat="1"/>
    <xf borderId="4" fillId="0" fontId="4" numFmtId="0" xfId="0" applyAlignment="1" applyBorder="1" applyFont="1">
      <alignment shrinkToFit="0" wrapText="0"/>
    </xf>
    <xf borderId="5" fillId="0" fontId="4" numFmtId="0" xfId="0" applyAlignment="1" applyBorder="1" applyFont="1">
      <alignment shrinkToFit="0" wrapText="0"/>
    </xf>
    <xf borderId="0" fillId="3" fontId="12" numFmtId="0" xfId="0" applyAlignment="1" applyFill="1" applyFont="1">
      <alignment horizontal="left" readingOrder="0"/>
    </xf>
    <xf borderId="4" fillId="0" fontId="4" numFmtId="0" xfId="0" applyAlignment="1" applyBorder="1" applyFont="1">
      <alignment readingOrder="0" shrinkToFit="0" wrapText="0"/>
    </xf>
    <xf borderId="6" fillId="0" fontId="4" numFmtId="0" xfId="0" applyAlignment="1" applyBorder="1" applyFont="1">
      <alignment readingOrder="0" shrinkToFit="0" wrapText="0"/>
    </xf>
    <xf borderId="7" fillId="0" fontId="4" numFmtId="0" xfId="0" applyAlignment="1" applyBorder="1" applyFont="1">
      <alignment readingOrder="0" shrinkToFit="0" wrapText="0"/>
    </xf>
    <xf borderId="7" fillId="0" fontId="4" numFmtId="0" xfId="0" applyAlignment="1" applyBorder="1" applyFont="1">
      <alignment readingOrder="0" shrinkToFit="0" wrapText="0"/>
    </xf>
    <xf borderId="6" fillId="0" fontId="4" numFmtId="0" xfId="0" applyAlignment="1" applyBorder="1" applyFont="1">
      <alignment readingOrder="0" shrinkToFit="0" wrapText="0"/>
    </xf>
    <xf borderId="8" fillId="0" fontId="13" numFmtId="0" xfId="0" applyAlignment="1" applyBorder="1" applyFont="1">
      <alignment readingOrder="0" shrinkToFit="0" wrapText="0"/>
    </xf>
    <xf borderId="8" fillId="0" fontId="4" numFmtId="0" xfId="0" applyAlignment="1" applyBorder="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HngiYH7XqDmkS6cOoHXfodYLnzb36POfgLcOwnP4Q4E/edit?gid=442452222" TargetMode="External"/><Relationship Id="rId2" Type="http://schemas.openxmlformats.org/officeDocument/2006/relationships/hyperlink" Target="https://metrics.yandex-team.ru/crons/100698/runs?pageSize=500" TargetMode="External"/><Relationship Id="rId3" Type="http://schemas.openxmlformats.org/officeDocument/2006/relationships/hyperlink" Target="https://metrics.yandex-team.ru/baskets/1006903/queries" TargetMode="External"/><Relationship Id="rId4" Type="http://schemas.openxmlformats.org/officeDocument/2006/relationships/hyperlink" Target="https://wiki.yandex-team.ru/users/dashborisova/srochnyjj-sbs-vide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 Type="http://schemas.openxmlformats.org/officeDocument/2006/relationships/hyperlink" Target="https://vkvideo.ru/@rizhiykottv" TargetMode="External"/><Relationship Id="rId152" Type="http://schemas.openxmlformats.org/officeDocument/2006/relationships/drawing" Target="../drawings/drawing3.xml"/><Relationship Id="rIdSnapshot3" Type="http://schemas.openxmlformats.org/officeDocument/2006/relationships/hyperlink" Target="https://s3.twcstorage.ru/bac33a93-fc8a-445a-b967-41d71601c7a5/yandex-video/2026/10/14/d0d819e68d594f8d1248-d550bad4f7a543cdaa4109f607389c2d.html?X-Amz-Algorithm=AWS4-HMAC-SHA256&amp;X-Amz-Credential=SE4EX99Q290D9S7RTH0L%2F20261014%2Fru-1%2Fs3%2Faws4_request&amp;X-Amz-Date=20261014T183521Z&amp;X-Amz-Expires=86400&amp;X-Amz-SignedHeaders=host&amp;X-Amz-Signature=0e3ca62c31ba16ff463282900a901d5ad18fd109044760cf1097d1faab1c0606" TargetMode="External"/><Relationship Id="rIdSnapshot4" Type="http://schemas.openxmlformats.org/officeDocument/2006/relationships/hyperlink" Target="https://s3.twcstorage.ru/bac33a93-fc8a-445a-b967-41d71601c7a5/yandex-video/2026/10/14/e3133ba3eb29307d6026-2cdfcaf38b2a43139d978567bb790eae.html?X-Amz-Algorithm=AWS4-HMAC-SHA256&amp;X-Amz-Credential=SE4EX99Q290D9S7RTH0L%2F20261014%2Fru-1%2Fs3%2Faws4_request&amp;X-Amz-Date=20261014T183528Z&amp;X-Amz-Expires=86400&amp;X-Amz-SignedHeaders=host&amp;X-Amz-Signature=27cf547fdd18528ba79ee191eeb9019a05763c05240a9e90192cee3a19614581" TargetMode="External"/><Relationship Id="rIdSnapshot5" Type="http://schemas.openxmlformats.org/officeDocument/2006/relationships/hyperlink" Target="https://s3.twcstorage.ru/bac33a93-fc8a-445a-b967-41d71601c7a5/yandex-video/2026/10/14/ba911326d9935945661b-688cf8ccd4b94a80a33612c983ced49a.html?X-Amz-Algorithm=AWS4-HMAC-SHA256&amp;X-Amz-Credential=SE4EX99Q290D9S7RTH0L%2F20261014%2Fru-1%2Fs3%2Faws4_request&amp;X-Amz-Date=20261014T183537Z&amp;X-Amz-Expires=86400&amp;X-Amz-SignedHeaders=host&amp;X-Amz-Signature=23c6942a658cd13d6f655634df375764a5b8481ba1f567f738db79d5058a196a" TargetMode="External"/><Relationship Id="rIdSnapshot6" Type="http://schemas.openxmlformats.org/officeDocument/2006/relationships/hyperlink" Target="https://s3.twcstorage.ru/bac33a93-fc8a-445a-b967-41d71601c7a5/yandex-video/2026/10/14/3294f676a937085d580a-068dc61a1bac444a8ed6ca2ce127b1ec.html?X-Amz-Algorithm=AWS4-HMAC-SHA256&amp;X-Amz-Credential=SE4EX99Q290D9S7RTH0L%2F20261014%2Fru-1%2Fs3%2Faws4_request&amp;X-Amz-Date=20261014T183544Z&amp;X-Amz-Expires=86400&amp;X-Amz-SignedHeaders=host&amp;X-Amz-Signature=cdd18fa695ec3e5b7dd665cbe4b9ce24b79a1a2d92d6529736dd82a137df9fa2" TargetMode="External"/><Relationship Id="rIdSnapshot7" Type="http://schemas.openxmlformats.org/officeDocument/2006/relationships/hyperlink" Target="https://s3.twcstorage.ru/bac33a93-fc8a-445a-b967-41d71601c7a5/yandex-video/2026/10/14/53653aa6a237c0d77d04-56df62e2e634476b9ea211e0d189a72c.html?X-Amz-Algorithm=AWS4-HMAC-SHA256&amp;X-Amz-Credential=SE4EX99Q290D9S7RTH0L%2F20261014%2Fru-1%2Fs3%2Faws4_request&amp;X-Amz-Date=20261014T183552Z&amp;X-Amz-Expires=86400&amp;X-Amz-SignedHeaders=host&amp;X-Amz-Signature=e77cd9714dce7344cf5f6600b93c40ac7cfbeb20b5b31383441012b03154c200" TargetMode="External"/><Relationship Id="rIdSnapshot8" Type="http://schemas.openxmlformats.org/officeDocument/2006/relationships/hyperlink" Target="https://s3.twcstorage.ru/bac33a93-fc8a-445a-b967-41d71601c7a5/yandex-video/2026/10/14/cc1b76c585a3eb56da5c-c0c362820c084d519e2a8d7be9aacc45.html?X-Amz-Algorithm=AWS4-HMAC-SHA256&amp;X-Amz-Credential=SE4EX99Q290D9S7RTH0L%2F20261014%2Fru-1%2Fs3%2Faws4_request&amp;X-Amz-Date=20261014T183559Z&amp;X-Amz-Expires=86400&amp;X-Amz-SignedHeaders=host&amp;X-Amz-Signature=fb4733ab8a03d04e5ef833b78c16a96f5635b1c542276018b281d8a7efb5350d" TargetMode="External"/><Relationship Id="rIdSnapshot9" Type="http://schemas.openxmlformats.org/officeDocument/2006/relationships/hyperlink" Target="https://s3.twcstorage.ru/bac33a93-fc8a-445a-b967-41d71601c7a5/yandex-video/2026/10/14/84359a4c592b46da8718-f597cbb47bda48ecba44ae35ad4f7e4b.html?X-Amz-Algorithm=AWS4-HMAC-SHA256&amp;X-Amz-Credential=SE4EX99Q290D9S7RTH0L%2F20261014%2Fru-1%2Fs3%2Faws4_request&amp;X-Amz-Date=20261014T183606Z&amp;X-Amz-Expires=86400&amp;X-Amz-SignedHeaders=host&amp;X-Amz-Signature=8ebde0bfe98629d2a9044436c2c8a160eff0ea58c1e8b70d0baf3dee8125b4c0" TargetMode="External"/><Relationship Id="rIdSnapshot10" Type="http://schemas.openxmlformats.org/officeDocument/2006/relationships/hyperlink" Target="https://s3.twcstorage.ru/bac33a93-fc8a-445a-b967-41d71601c7a5/yandex-video/2026/10/14/7fcece57d50b949e16c1-72501635c80b48d8bfe9a1653d51827f.html?X-Amz-Algorithm=AWS4-HMAC-SHA256&amp;X-Amz-Credential=SE4EX99Q290D9S7RTH0L%2F20261014%2Fru-1%2Fs3%2Faws4_request&amp;X-Amz-Date=20261014T183615Z&amp;X-Amz-Expires=86400&amp;X-Amz-SignedHeaders=host&amp;X-Amz-Signature=b994cfe8a2b22a105c5360727b0881f4eee38f7bc79e963b43c308c10fd99868" TargetMode="External"/><Relationship Id="rIdSnapshot11" Type="http://schemas.openxmlformats.org/officeDocument/2006/relationships/hyperlink" Target="https://s3.twcstorage.ru/bac33a93-fc8a-445a-b967-41d71601c7a5/yandex-video/2026/10/14/37a922b61398ff479aa4-0f10e18b6e604e95919d9ee7be15228a.html?X-Amz-Algorithm=AWS4-HMAC-SHA256&amp;X-Amz-Credential=SE4EX99Q290D9S7RTH0L%2F20261014%2Fru-1%2Fs3%2Faws4_request&amp;X-Amz-Date=20261014T183624Z&amp;X-Amz-Expires=86400&amp;X-Amz-SignedHeaders=host&amp;X-Amz-Signature=7b2394baaf6669584c0b10bc8ef79e38d835845b6622ca9cab7ea3b93806019f" TargetMode="External"/><Relationship Id="rIdSnapshot12" Type="http://schemas.openxmlformats.org/officeDocument/2006/relationships/hyperlink" Target="https://s3.twcstorage.ru/bac33a93-fc8a-445a-b967-41d71601c7a5/yandex-video/2026/10/14/5b97eeeff93e663d4dd9-f1c81fc698f14364b49079a8c525eb64.html?X-Amz-Algorithm=AWS4-HMAC-SHA256&amp;X-Amz-Credential=SE4EX99Q290D9S7RTH0L%2F20261014%2Fru-1%2Fs3%2Faws4_request&amp;X-Amz-Date=20261014T183632Z&amp;X-Amz-Expires=86400&amp;X-Amz-SignedHeaders=host&amp;X-Amz-Signature=98c9bf59b3aee5b4d868690111ac44d089f31178f73a9fc219555411c35f6fbf" TargetMode="External"/><Relationship Id="rIdSnapshot13" Type="http://schemas.openxmlformats.org/officeDocument/2006/relationships/hyperlink" Target="https://s3.twcstorage.ru/bac33a93-fc8a-445a-b967-41d71601c7a5/yandex-video/2026/10/14/50e7a513d35930374ae6-fc04852247a44852968d489d04115418.html?X-Amz-Algorithm=AWS4-HMAC-SHA256&amp;X-Amz-Credential=SE4EX99Q290D9S7RTH0L%2F20261014%2Fru-1%2Fs3%2Faws4_request&amp;X-Amz-Date=20261014T183641Z&amp;X-Amz-Expires=86400&amp;X-Amz-SignedHeaders=host&amp;X-Amz-Signature=b2e6433757485c8c8337dd473d64bb9790b37d0dd0a04e34457de0dffa0e258e" TargetMode="External"/><Relationship Id="rIdSnapshot14" Type="http://schemas.openxmlformats.org/officeDocument/2006/relationships/hyperlink" Target="https://s3.twcstorage.ru/bac33a93-fc8a-445a-b967-41d71601c7a5/yandex-video/2026/10/14/b3e8eeea41e6d13fdd4f-bbe3599d3caf4bdfa85824bf109bd053.html?X-Amz-Algorithm=AWS4-HMAC-SHA256&amp;X-Amz-Credential=SE4EX99Q290D9S7RTH0L%2F20261014%2Fru-1%2Fs3%2Faws4_request&amp;X-Amz-Date=20261014T184421Z&amp;X-Amz-Expires=86400&amp;X-Amz-SignedHeaders=host&amp;X-Amz-Signature=c391edd377248c8edbad03877a09efdabb2880fac78c9aa217f6ef98bae2189e" TargetMode="External"/><Relationship Id="rIdSnapshot15" Type="http://schemas.openxmlformats.org/officeDocument/2006/relationships/hyperlink" Target="https://s3.twcstorage.ru/bac33a93-fc8a-445a-b967-41d71601c7a5/yandex-video/2026/10/14/eb801f5ae9bc146bcf35-92aae6841c104573a313b46e4d508def.html?X-Amz-Algorithm=AWS4-HMAC-SHA256&amp;X-Amz-Credential=SE4EX99Q290D9S7RTH0L%2F20261014%2Fru-1%2Fs3%2Faws4_request&amp;X-Amz-Date=20261014T183750Z&amp;X-Amz-Expires=86400&amp;X-Amz-SignedHeaders=host&amp;X-Amz-Signature=f6d092eb8ff28ff1d8f0760ebb1f40604c642ead822c20280bf7918563760b4b" TargetMode="External"/><Relationship Id="rIdSnapshot16" Type="http://schemas.openxmlformats.org/officeDocument/2006/relationships/hyperlink" Target="https://s3.twcstorage.ru/bac33a93-fc8a-445a-b967-41d71601c7a5/yandex-video/2026/10/14/b3eae5ab075d530ac045-da7f04ee715b49aba01cd2e2fb5c7a9b.html?X-Amz-Algorithm=AWS4-HMAC-SHA256&amp;X-Amz-Credential=SE4EX99Q290D9S7RTH0L%2F20261014%2Fru-1%2Fs3%2Faws4_request&amp;X-Amz-Date=20261014T183758Z&amp;X-Amz-Expires=86400&amp;X-Amz-SignedHeaders=host&amp;X-Amz-Signature=831f4bcc455a036216debab9f9878750f9f13bc4f107ac73678b4c93a333c5a4" TargetMode="External"/><Relationship Id="rIdSnapshot17" Type="http://schemas.openxmlformats.org/officeDocument/2006/relationships/hyperlink" Target="https://s3.twcstorage.ru/bac33a93-fc8a-445a-b967-41d71601c7a5/yandex-video/2026/10/14/bd31daab25fdbe46e106-499b419615374de6a9cecbbc12f0779f.html?X-Amz-Algorithm=AWS4-HMAC-SHA256&amp;X-Amz-Credential=SE4EX99Q290D9S7RTH0L%2F20261014%2Fru-1%2Fs3%2Faws4_request&amp;X-Amz-Date=20261014T183807Z&amp;X-Amz-Expires=86400&amp;X-Amz-SignedHeaders=host&amp;X-Amz-Signature=733eee5ac56256a1d3dea451982bd9ac80d9b790612701e1dfdb82dedf9e4741" TargetMode="External"/><Relationship Id="rIdSnapshot18" Type="http://schemas.openxmlformats.org/officeDocument/2006/relationships/hyperlink" Target="https://s3.twcstorage.ru/bac33a93-fc8a-445a-b967-41d71601c7a5/yandex-video/2026/10/14/7ed4d2c8a9ffb019356b-3c9437a116ac4b908d900706ef4e2c65.html?X-Amz-Algorithm=AWS4-HMAC-SHA256&amp;X-Amz-Credential=SE4EX99Q290D9S7RTH0L%2F20261014%2Fru-1%2Fs3%2Faws4_request&amp;X-Amz-Date=20261014T183815Z&amp;X-Amz-Expires=86400&amp;X-Amz-SignedHeaders=host&amp;X-Amz-Signature=f4c2025f01b82fae28bd981390d22ea8165221bfb347bd536c71647949bc9bcb" TargetMode="External"/><Relationship Id="rIdSnapshot19" Type="http://schemas.openxmlformats.org/officeDocument/2006/relationships/hyperlink" Target="https://s3.twcstorage.ru/bac33a93-fc8a-445a-b967-41d71601c7a5/yandex-video/2026/10/14/64dc3e4226ba17c7c5d2-6a2323876dd445d0bdfb04d36be0dfaf.html?X-Amz-Algorithm=AWS4-HMAC-SHA256&amp;X-Amz-Credential=SE4EX99Q290D9S7RTH0L%2F20261014%2Fru-1%2Fs3%2Faws4_request&amp;X-Amz-Date=20261014T183822Z&amp;X-Amz-Expires=86400&amp;X-Amz-SignedHeaders=host&amp;X-Amz-Signature=fdbd74d5f0e22ddd0f378b53912a3e07e87df11fa8a12107ed483f6d8026261a" TargetMode="External"/><Relationship Id="rIdSnapshot20" Type="http://schemas.openxmlformats.org/officeDocument/2006/relationships/hyperlink" Target="https://s3.twcstorage.ru/bac33a93-fc8a-445a-b967-41d71601c7a5/yandex-video/2026/10/14/355553a07c63f47fe55f-c1d94d5f9297438b8ef83055c4027f7a.html?X-Amz-Algorithm=AWS4-HMAC-SHA256&amp;X-Amz-Credential=SE4EX99Q290D9S7RTH0L%2F20261014%2Fru-1%2Fs3%2Faws4_request&amp;X-Amz-Date=20261014T183829Z&amp;X-Amz-Expires=86400&amp;X-Amz-SignedHeaders=host&amp;X-Amz-Signature=1c7516435b9e3f3753154289b96fc1e7a282580a66751f1db410be44cd7a8a6b" TargetMode="External"/><Relationship Id="rIdSnapshot21" Type="http://schemas.openxmlformats.org/officeDocument/2006/relationships/hyperlink" Target="https://s3.twcstorage.ru/bac33a93-fc8a-445a-b967-41d71601c7a5/yandex-video/2026/10/14/6bf90b7420bdb275fb9d-a81fd6ba1ef243d1ba61dfa0f80afb20.html?X-Amz-Algorithm=AWS4-HMAC-SHA256&amp;X-Amz-Credential=SE4EX99Q290D9S7RTH0L%2F20261014%2Fru-1%2Fs3%2Faws4_request&amp;X-Amz-Date=20261014T183837Z&amp;X-Amz-Expires=86400&amp;X-Amz-SignedHeaders=host&amp;X-Amz-Signature=edbdd1eb993263f3d02fee40db114fe693c4a56fd92b173b53d2fbfb3e00bb44" TargetMode="External"/><Relationship Id="rIdSnapshot22" Type="http://schemas.openxmlformats.org/officeDocument/2006/relationships/hyperlink" Target="https://s3.twcstorage.ru/bac33a93-fc8a-445a-b967-41d71601c7a5/yandex-video/2026/10/14/4fae54cd7b80e15d1507-82765d689378421999e7999c90803d29.html?X-Amz-Algorithm=AWS4-HMAC-SHA256&amp;X-Amz-Credential=SE4EX99Q290D9S7RTH0L%2F20261014%2Fru-1%2Fs3%2Faws4_request&amp;X-Amz-Date=20261014T183844Z&amp;X-Amz-Expires=86400&amp;X-Amz-SignedHeaders=host&amp;X-Amz-Signature=cfa248d27a0b2312326bdc23f5a2d246258285da3d96060b06ca32635016e6db" TargetMode="External"/><Relationship Id="rIdSnapshot23" Type="http://schemas.openxmlformats.org/officeDocument/2006/relationships/hyperlink" Target="https://s3.twcstorage.ru/bac33a93-fc8a-445a-b967-41d71601c7a5/yandex-video/2026/10/14/f924ffe5b885a60c2273-eb38c5ef2825446091588e7de0947d5d.html?X-Amz-Algorithm=AWS4-HMAC-SHA256&amp;X-Amz-Credential=SE4EX99Q290D9S7RTH0L%2F20261014%2Fru-1%2Fs3%2Faws4_request&amp;X-Amz-Date=20261014T183853Z&amp;X-Amz-Expires=86400&amp;X-Amz-SignedHeaders=host&amp;X-Amz-Signature=663475c8d7d01f7f7da96ffcab52dfaacd3d5c13ff3ba2e26821bdacb837c69b" TargetMode="External"/><Relationship Id="rIdSnapshot24" Type="http://schemas.openxmlformats.org/officeDocument/2006/relationships/hyperlink" Target="https://s3.twcstorage.ru/bac33a93-fc8a-445a-b967-41d71601c7a5/yandex-video/2026/10/14/88b2203916182c8b8938-1816c9895c344fd09286c0b58af8d1fa.html?X-Amz-Algorithm=AWS4-HMAC-SHA256&amp;X-Amz-Credential=SE4EX99Q290D9S7RTH0L%2F20261014%2Fru-1%2Fs3%2Faws4_request&amp;X-Amz-Date=20261014T183910Z&amp;X-Amz-Expires=86400&amp;X-Amz-SignedHeaders=host&amp;X-Amz-Signature=138ef7a687b6a34883960070cc6481ed8adc32f3e2a1fa4abf780215a10252fd" TargetMode="External"/><Relationship Id="rIdSnapshot25" Type="http://schemas.openxmlformats.org/officeDocument/2006/relationships/hyperlink" Target="https://s3.twcstorage.ru/bac33a93-fc8a-445a-b967-41d71601c7a5/yandex-video/2026/10/14/b755230f171c7e6f1eef-7e44638b79d14919bda1b37614b28bac.html?X-Amz-Algorithm=AWS4-HMAC-SHA256&amp;X-Amz-Credential=SE4EX99Q290D9S7RTH0L%2F20261014%2Fru-1%2Fs3%2Faws4_request&amp;X-Amz-Date=20261014T183911Z&amp;X-Amz-Expires=86400&amp;X-Amz-SignedHeaders=host&amp;X-Amz-Signature=da67678b17fc73c7993e31d6b2b9a67cdecf9d83c773286ac89e74d7de088eea" TargetMode="External"/><Relationship Id="rIdSnapshot26" Type="http://schemas.openxmlformats.org/officeDocument/2006/relationships/hyperlink" Target="https://s3.twcstorage.ru/bac33a93-fc8a-445a-b967-41d71601c7a5/yandex-video/2026/10/14/0c5b0dfe5782d3202cca-e5e567c192084474b8b86d095ec14b28.html?X-Amz-Algorithm=AWS4-HMAC-SHA256&amp;X-Amz-Credential=SE4EX99Q290D9S7RTH0L%2F20261014%2Fru-1%2Fs3%2Faws4_request&amp;X-Amz-Date=20261014T184012Z&amp;X-Amz-Expires=86400&amp;X-Amz-SignedHeaders=host&amp;X-Amz-Signature=57918a16a89c5da595e5db6d4f2e64971f3d4fa742c0f41f8bd9761114130010" TargetMode="External"/><Relationship Id="rIdSnapshot27" Type="http://schemas.openxmlformats.org/officeDocument/2006/relationships/hyperlink" Target="https://s3.twcstorage.ru/bac33a93-fc8a-445a-b967-41d71601c7a5/yandex-video/2026/10/14/60607e4e12103dc1d904-89ece19904124e4b8379f07c29e5130f.html?X-Amz-Algorithm=AWS4-HMAC-SHA256&amp;X-Amz-Credential=SE4EX99Q290D9S7RTH0L%2F20261014%2Fru-1%2Fs3%2Faws4_request&amp;X-Amz-Date=20261014T183918Z&amp;X-Amz-Expires=86400&amp;X-Amz-SignedHeaders=host&amp;X-Amz-Signature=5654a47771dd7ddc6b9e9751397b500ddc47274d22cd1809e7e040e2958de822" TargetMode="External"/><Relationship Id="rIdSnapshot28" Type="http://schemas.openxmlformats.org/officeDocument/2006/relationships/hyperlink" Target="https://s3.twcstorage.ru/bac33a93-fc8a-445a-b967-41d71601c7a5/yandex-video/2026/10/14/25dec4fd30ad36d20de1-86e05fbfa68e4767a092beb2a37094a9.html?X-Amz-Algorithm=AWS4-HMAC-SHA256&amp;X-Amz-Credential=SE4EX99Q290D9S7RTH0L%2F20261014%2Fru-1%2Fs3%2Faws4_request&amp;X-Amz-Date=20261014T183921Z&amp;X-Amz-Expires=86400&amp;X-Amz-SignedHeaders=host&amp;X-Amz-Signature=85d50f98dcf50883e87449500f5b9a27645c55eafa11be7abc45bcc8cd37b928" TargetMode="External"/><Relationship Id="rIdSnapshot29" Type="http://schemas.openxmlformats.org/officeDocument/2006/relationships/hyperlink" Target="https://s3.twcstorage.ru/bac33a93-fc8a-445a-b967-41d71601c7a5/yandex-video/2026/10/14/4274ea77b5fe7357a9ac-84822c0d443b4032ac2bacbdddffb36f.html?X-Amz-Algorithm=AWS4-HMAC-SHA256&amp;X-Amz-Credential=SE4EX99Q290D9S7RTH0L%2F20261014%2Fru-1%2Fs3%2Faws4_request&amp;X-Amz-Date=20261014T184020Z&amp;X-Amz-Expires=86400&amp;X-Amz-SignedHeaders=host&amp;X-Amz-Signature=28b95a412c5bb29cd8520c30ab2c015293bc55ba18bc1c06b4df8b3f13487225" TargetMode="External"/><Relationship Id="rIdSnapshot30" Type="http://schemas.openxmlformats.org/officeDocument/2006/relationships/hyperlink" Target="https://s3.twcstorage.ru/bac33a93-fc8a-445a-b967-41d71601c7a5/yandex-video/2026/10/14/3a25e22616d0072057ae-948679a549e646dcbc860a4fca263a49.html?X-Amz-Algorithm=AWS4-HMAC-SHA256&amp;X-Amz-Credential=SE4EX99Q290D9S7RTH0L%2F20261014%2Fru-1%2Fs3%2Faws4_request&amp;X-Amz-Date=20261014T183927Z&amp;X-Amz-Expires=86400&amp;X-Amz-SignedHeaders=host&amp;X-Amz-Signature=96f0897c1d9fffbc2b73a092e5d840d681b746c6641d31641839893999ff7d5b" TargetMode="External"/><Relationship Id="rIdSnapshot31" Type="http://schemas.openxmlformats.org/officeDocument/2006/relationships/hyperlink" Target="https://s3.twcstorage.ru/bac33a93-fc8a-445a-b967-41d71601c7a5/yandex-video/2026/10/14/8f28aa494b5b42a62a46-8943d14e399c41bd9c8f4061b91fb6bb.html?X-Amz-Algorithm=AWS4-HMAC-SHA256&amp;X-Amz-Credential=SE4EX99Q290D9S7RTH0L%2F20261014%2Fru-1%2Fs3%2Faws4_request&amp;X-Amz-Date=20261014T183931Z&amp;X-Amz-Expires=86400&amp;X-Amz-SignedHeaders=host&amp;X-Amz-Signature=cb924231325b5ce45d6fe91967ddb596ceddf6f055ffc6290d4dc32b79043d51" TargetMode="External"/><Relationship Id="rIdSnapshot32" Type="http://schemas.openxmlformats.org/officeDocument/2006/relationships/hyperlink" Target="https://s3.twcstorage.ru/bac33a93-fc8a-445a-b967-41d71601c7a5/yandex-video/2026/10/14/686c966388e834e1f255-af51aa3efae5440b82164952f42cec06.html?X-Amz-Algorithm=AWS4-HMAC-SHA256&amp;X-Amz-Credential=SE4EX99Q290D9S7RTH0L%2F20261014%2Fru-1%2Fs3%2Faws4_request&amp;X-Amz-Date=20261014T184030Z&amp;X-Amz-Expires=86400&amp;X-Amz-SignedHeaders=host&amp;X-Amz-Signature=6647d1639049926b85647ad3c249e095fab53b21a10a879c29e4b8812f88ca24" TargetMode="External"/><Relationship Id="rIdSnapshot33" Type="http://schemas.openxmlformats.org/officeDocument/2006/relationships/hyperlink" Target="https://s3.twcstorage.ru/bac33a93-fc8a-445a-b967-41d71601c7a5/yandex-video/2026/10/14/3ad923e7e31454cb590d-5eaa84e9f9514488bb9eba0ad114c704.html?X-Amz-Algorithm=AWS4-HMAC-SHA256&amp;X-Amz-Credential=SE4EX99Q290D9S7RTH0L%2F20261014%2Fru-1%2Fs3%2Faws4_request&amp;X-Amz-Date=20261014T183935Z&amp;X-Amz-Expires=86400&amp;X-Amz-SignedHeaders=host&amp;X-Amz-Signature=d6ad46691bf5b63819798805147356e3732708f186d40ae40fe26a4f71c4408f" TargetMode="External"/><Relationship Id="rIdSnapshot34" Type="http://schemas.openxmlformats.org/officeDocument/2006/relationships/hyperlink" Target="https://s3.twcstorage.ru/bac33a93-fc8a-445a-b967-41d71601c7a5/yandex-video/2026/10/14/8f41cc7fcd0edc392a3a-7ab4247530714dd897105041d73b4319.html?X-Amz-Algorithm=AWS4-HMAC-SHA256&amp;X-Amz-Credential=SE4EX99Q290D9S7RTH0L%2F20261014%2Fru-1%2Fs3%2Faws4_request&amp;X-Amz-Date=20261014T183939Z&amp;X-Amz-Expires=86400&amp;X-Amz-SignedHeaders=host&amp;X-Amz-Signature=daa7c61d49ac78ace5598a8166507f603cf469921f3dbcdfea29356d15c54cdf" TargetMode="External"/><Relationship Id="rIdSnapshot35" Type="http://schemas.openxmlformats.org/officeDocument/2006/relationships/hyperlink" Target="https://s3.twcstorage.ru/bac33a93-fc8a-445a-b967-41d71601c7a5/yandex-video/2026/10/14/806b314ad1bac277347d-9775abb1185b40c88a635d4135814e8f.html?X-Amz-Algorithm=AWS4-HMAC-SHA256&amp;X-Amz-Credential=SE4EX99Q290D9S7RTH0L%2F20261014%2Fru-1%2Fs3%2Faws4_request&amp;X-Amz-Date=20261014T184040Z&amp;X-Amz-Expires=86400&amp;X-Amz-SignedHeaders=host&amp;X-Amz-Signature=17d98f53d78dd28407cd5011ba0925c1bc296b9e48cfee257a7cfc7c6337dc5e" TargetMode="External"/><Relationship Id="rIdSnapshot36" Type="http://schemas.openxmlformats.org/officeDocument/2006/relationships/hyperlink" Target="https://s3.twcstorage.ru/bac33a93-fc8a-445a-b967-41d71601c7a5/yandex-video/2026/10/14/f53e7bb3bb9efa29a766-0d65479557854176b1e0940296321c6f.html?X-Amz-Algorithm=AWS4-HMAC-SHA256&amp;X-Amz-Credential=SE4EX99Q290D9S7RTH0L%2F20261014%2Fru-1%2Fs3%2Faws4_request&amp;X-Amz-Date=20261014T183943Z&amp;X-Amz-Expires=86400&amp;X-Amz-SignedHeaders=host&amp;X-Amz-Signature=08102ba60f8457b478e0ee0d8d1a6c8b79d7557f2dd84db52e1d26fa0bb2f4c1" TargetMode="External"/><Relationship Id="rIdSnapshot37" Type="http://schemas.openxmlformats.org/officeDocument/2006/relationships/hyperlink" Target="https://s3.twcstorage.ru/bac33a93-fc8a-445a-b967-41d71601c7a5/yandex-video/2026/10/14/aca7972f3b806ceb3a27-498f9f88e06c4e7b833fc45723da9d87.html?X-Amz-Algorithm=AWS4-HMAC-SHA256&amp;X-Amz-Credential=SE4EX99Q290D9S7RTH0L%2F20261014%2Fru-1%2Fs3%2Faws4_request&amp;X-Amz-Date=20261014T183948Z&amp;X-Amz-Expires=86400&amp;X-Amz-SignedHeaders=host&amp;X-Amz-Signature=09010565f18883246ed9a21e6b15ba06a4279bf806a34848993b8653714f7115" TargetMode="External"/><Relationship Id="rIdSnapshot38" Type="http://schemas.openxmlformats.org/officeDocument/2006/relationships/hyperlink" Target="https://s3.twcstorage.ru/bac33a93-fc8a-445a-b967-41d71601c7a5/yandex-video/2026/10/14/8b4ba6df260a7347d0e6-38c6c8884ec445249b57b91fc0121454.html?X-Amz-Algorithm=AWS4-HMAC-SHA256&amp;X-Amz-Credential=SE4EX99Q290D9S7RTH0L%2F20261014%2Fru-1%2Fs3%2Faws4_request&amp;X-Amz-Date=20261014T184051Z&amp;X-Amz-Expires=86400&amp;X-Amz-SignedHeaders=host&amp;X-Amz-Signature=b59551061b9ca2309213770fd92a530584f9d9c41a6a0a4649462129d49d0435" TargetMode="External"/><Relationship Id="rIdSnapshot39" Type="http://schemas.openxmlformats.org/officeDocument/2006/relationships/hyperlink" Target="https://s3.twcstorage.ru/bac33a93-fc8a-445a-b967-41d71601c7a5/yandex-video/2026/10/14/85193c01be427662d7c1-b13c5f76d392405cb234209a522f6a19.html?X-Amz-Algorithm=AWS4-HMAC-SHA256&amp;X-Amz-Credential=SE4EX99Q290D9S7RTH0L%2F20261014%2Fru-1%2Fs3%2Faws4_request&amp;X-Amz-Date=20261014T184022Z&amp;X-Amz-Expires=86400&amp;X-Amz-SignedHeaders=host&amp;X-Amz-Signature=cf579d3930d7cd95d4bf58123cc102286418b1819f2f96db04245a54476ff4f9" TargetMode="External"/><Relationship Id="rIdSnapshot40" Type="http://schemas.openxmlformats.org/officeDocument/2006/relationships/hyperlink" Target="https://s3.twcstorage.ru/bac33a93-fc8a-445a-b967-41d71601c7a5/yandex-video/2026/10/14/28a4f598d801c7a9d2b4-5d39a423420c427b8a3e76fd634050b1.html?X-Amz-Algorithm=AWS4-HMAC-SHA256&amp;X-Amz-Credential=SE4EX99Q290D9S7RTH0L%2F20261014%2Fru-1%2Fs3%2Faws4_request&amp;X-Amz-Date=20261014T183956Z&amp;X-Amz-Expires=86400&amp;X-Amz-SignedHeaders=host&amp;X-Amz-Signature=2818ff5cf9af2c40a0b9c20cab7a27d742aecca8a4a328921e0feb18f0094d73" TargetMode="External"/><Relationship Id="rIdSnapshot41" Type="http://schemas.openxmlformats.org/officeDocument/2006/relationships/hyperlink" Target="https://s3.twcstorage.ru/bac33a93-fc8a-445a-b967-41d71601c7a5/yandex-video/2026/10/14/195f020abc1ead29ba97-0827135f11034e749d700106acf29d13.html?X-Amz-Algorithm=AWS4-HMAC-SHA256&amp;X-Amz-Credential=SE4EX99Q290D9S7RTH0L%2F20261014%2Fru-1%2Fs3%2Faws4_request&amp;X-Amz-Date=20261014T184059Z&amp;X-Amz-Expires=86400&amp;X-Amz-SignedHeaders=host&amp;X-Amz-Signature=8198b832c9b4768ef5626c592d2088adcef0ae1cc7fa43b954e9dba5dc3af203" TargetMode="External"/><Relationship Id="rIdSnapshot42" Type="http://schemas.openxmlformats.org/officeDocument/2006/relationships/hyperlink" Target="https://s3.twcstorage.ru/bac33a93-fc8a-445a-b967-41d71601c7a5/yandex-video/2026/10/14/f5e2e38e146d7fc0d37b-bd423a9aa06e444dad9f9c69e4d18a25.html?X-Amz-Algorithm=AWS4-HMAC-SHA256&amp;X-Amz-Credential=SE4EX99Q290D9S7RTH0L%2F20261014%2Fru-1%2Fs3%2Faws4_request&amp;X-Amz-Date=20261014T184033Z&amp;X-Amz-Expires=86400&amp;X-Amz-SignedHeaders=host&amp;X-Amz-Signature=23f8278bedb1f6c8dd9bf412795b8db8313e92e3b378be55979900d82e29993a" TargetMode="External"/><Relationship Id="rIdSnapshot43" Type="http://schemas.openxmlformats.org/officeDocument/2006/relationships/hyperlink" Target="https://s3.twcstorage.ru/bac33a93-fc8a-445a-b967-41d71601c7a5/yandex-video/2026/10/14/915485bd60647c67ef6b-dd005a81d3f84b40851ba5ce255d3448.html?X-Amz-Algorithm=AWS4-HMAC-SHA256&amp;X-Amz-Credential=SE4EX99Q290D9S7RTH0L%2F20261014%2Fru-1%2Fs3%2Faws4_request&amp;X-Amz-Date=20261014T184003Z&amp;X-Amz-Expires=86400&amp;X-Amz-SignedHeaders=host&amp;X-Amz-Signature=b67e2a66a9d256a9ee2ff840103d96a5fcfb3112c1e6a05a06cd23f746b3ec48" TargetMode="External"/><Relationship Id="rIdSnapshot44" Type="http://schemas.openxmlformats.org/officeDocument/2006/relationships/hyperlink" Target="https://s3.twcstorage.ru/bac33a93-fc8a-445a-b967-41d71601c7a5/yandex-video/2026/10/14/7ae628d17d3d5ea41552-a64468318b4e49e6812a908a7ff6b45f.html?X-Amz-Algorithm=AWS4-HMAC-SHA256&amp;X-Amz-Credential=SE4EX99Q290D9S7RTH0L%2F20261014%2Fru-1%2Fs3%2Faws4_request&amp;X-Amz-Date=20261014T184107Z&amp;X-Amz-Expires=86400&amp;X-Amz-SignedHeaders=host&amp;X-Amz-Signature=0c2dd09b3c336877d5ba86e02ff999a630124bb4b6eee839748ce9a2383207a8" TargetMode="External"/><Relationship Id="rIdSnapshot45" Type="http://schemas.openxmlformats.org/officeDocument/2006/relationships/hyperlink" Target="https://s3.twcstorage.ru/bac33a93-fc8a-445a-b967-41d71601c7a5/yandex-video/2026/10/14/d5b6d697e44170b450e8-0fd8eca868bd406e97a16403e75352cb.html?X-Amz-Algorithm=AWS4-HMAC-SHA256&amp;X-Amz-Credential=SE4EX99Q290D9S7RTH0L%2F20261014%2Fru-1%2Fs3%2Faws4_request&amp;X-Amz-Date=20261014T184041Z&amp;X-Amz-Expires=86400&amp;X-Amz-SignedHeaders=host&amp;X-Amz-Signature=035024df82958fe837d1c2c2ff4225074e687d7778fcd41b89bcab75127d12da" TargetMode="External"/><Relationship Id="rIdSnapshot46" Type="http://schemas.openxmlformats.org/officeDocument/2006/relationships/hyperlink" Target="https://s3.twcstorage.ru/bac33a93-fc8a-445a-b967-41d71601c7a5/yandex-video/2026/10/14/c1456ae7b6877a58e7c0-d9725b8f4d3b4ad7bc691707caa20169.html?X-Amz-Algorithm=AWS4-HMAC-SHA256&amp;X-Amz-Credential=SE4EX99Q290D9S7RTH0L%2F20261014%2Fru-1%2Fs3%2Faws4_request&amp;X-Amz-Date=20261014T184010Z&amp;X-Amz-Expires=86400&amp;X-Amz-SignedHeaders=host&amp;X-Amz-Signature=5d04b2099ff3c4405e5f3935e50dea38d837691faeb8c84fbb1620fe0338e8f8" TargetMode="External"/><Relationship Id="rIdSnapshot47" Type="http://schemas.openxmlformats.org/officeDocument/2006/relationships/hyperlink" Target="https://s3.twcstorage.ru/bac33a93-fc8a-445a-b967-41d71601c7a5/yandex-video/2026/10/14/592616c3dd8ad06bfe0b-098b211a5da64bae936c0cc09ae1fb3a.html?X-Amz-Algorithm=AWS4-HMAC-SHA256&amp;X-Amz-Credential=SE4EX99Q290D9S7RTH0L%2F20261014%2Fru-1%2Fs3%2Faws4_request&amp;X-Amz-Date=20261014T184115Z&amp;X-Amz-Expires=86400&amp;X-Amz-SignedHeaders=host&amp;X-Amz-Signature=1dfa5759e11986a3f213238e7c6cf8cad00cbc081aa9d7f23ad6440e9b106a40" TargetMode="External"/><Relationship Id="rIdSnapshot48" Type="http://schemas.openxmlformats.org/officeDocument/2006/relationships/hyperlink" Target="https://s3.twcstorage.ru/bac33a93-fc8a-445a-b967-41d71601c7a5/yandex-video/2026/10/14/be24e2729486bf23617a-eeb6c00aebea488b96015de88f5363da.html?X-Amz-Algorithm=AWS4-HMAC-SHA256&amp;X-Amz-Credential=SE4EX99Q290D9S7RTH0L%2F20261014%2Fru-1%2Fs3%2Faws4_request&amp;X-Amz-Date=20261014T184119Z&amp;X-Amz-Expires=86400&amp;X-Amz-SignedHeaders=host&amp;X-Amz-Signature=4ec5c0280d9a584ed5145443bd8d0bb7236d02bd5d2be52cce925e4bb4b43208" TargetMode="External"/><Relationship Id="rIdSnapshot49" Type="http://schemas.openxmlformats.org/officeDocument/2006/relationships/hyperlink" Target="https://s3.twcstorage.ru/bac33a93-fc8a-445a-b967-41d71601c7a5/yandex-video/2026/10/14/5542e058c389778fe5e2-24cecb9fbf144e478ae72301d1f235a3.html?X-Amz-Algorithm=AWS4-HMAC-SHA256&amp;X-Amz-Credential=SE4EX99Q290D9S7RTH0L%2F20261014%2Fru-1%2Fs3%2Faws4_request&amp;X-Amz-Date=20261014T184019Z&amp;X-Amz-Expires=86400&amp;X-Amz-SignedHeaders=host&amp;X-Amz-Signature=392ead0b7dc3629a4ece65ae41cdd6ca9b9384fd931376be3a89d3fbd98f40e6" TargetMode="External"/><Relationship Id="rIdSnapshot50" Type="http://schemas.openxmlformats.org/officeDocument/2006/relationships/hyperlink" Target="https://s3.twcstorage.ru/bac33a93-fc8a-445a-b967-41d71601c7a5/yandex-video/2026/10/14/66aae6a436394f05a7b6-f2747523bf574f7da64cd55f52c4ebc9.html?X-Amz-Algorithm=AWS4-HMAC-SHA256&amp;X-Amz-Credential=SE4EX99Q290D9S7RTH0L%2F20261014%2Fru-1%2Fs3%2Faws4_request&amp;X-Amz-Date=20261014T184123Z&amp;X-Amz-Expires=86400&amp;X-Amz-SignedHeaders=host&amp;X-Amz-Signature=bfc663022346a95e9766e216e24a26f0c6188873b81b92507c2758a81034b70d" TargetMode="External"/><Relationship Id="rIdSnapshot51" Type="http://schemas.openxmlformats.org/officeDocument/2006/relationships/hyperlink" Target="https://s3.twcstorage.ru/bac33a93-fc8a-445a-b967-41d71601c7a5/yandex-video/2026/10/14/0ac5ff3cd567ca859d06-f13290c3ad044eb19e111aa5b5a67546.html?X-Amz-Algorithm=AWS4-HMAC-SHA256&amp;X-Amz-Credential=SE4EX99Q290D9S7RTH0L%2F20261014%2Fru-1%2Fs3%2Faws4_request&amp;X-Amz-Date=20261014T184127Z&amp;X-Amz-Expires=86400&amp;X-Amz-SignedHeaders=host&amp;X-Amz-Signature=8a7c0c7a4c73d1d843da8de9cb8d9e2cd1fa2a6418dcc8ca51bc5f4dabe2c026" TargetMode="External"/><Relationship Id="rIdSnapshot52" Type="http://schemas.openxmlformats.org/officeDocument/2006/relationships/hyperlink" Target="https://s3.twcstorage.ru/bac33a93-fc8a-445a-b967-41d71601c7a5/yandex-video/2026/10/14/f3ba2d3ee8291907376a-3a441b13e10d4f4daba660ffb68a24eb.html?X-Amz-Algorithm=AWS4-HMAC-SHA256&amp;X-Amz-Credential=SE4EX99Q290D9S7RTH0L%2F20261014%2Fru-1%2Fs3%2Faws4_request&amp;X-Amz-Date=20261014T184027Z&amp;X-Amz-Expires=86400&amp;X-Amz-SignedHeaders=host&amp;X-Amz-Signature=b8033e4fd7eea004b6988f21cb9c37f04cefa33cf24cb899d9cb3758decb48a6" TargetMode="External"/><Relationship Id="rIdSnapshot53" Type="http://schemas.openxmlformats.org/officeDocument/2006/relationships/hyperlink" Target="https://s3.twcstorage.ru/bac33a93-fc8a-445a-b967-41d71601c7a5/yandex-video/2026/10/14/d91d7635d454693119ae-c755a9d87eed43e1ad4f5b2190bb61c0.html?X-Amz-Algorithm=AWS4-HMAC-SHA256&amp;X-Amz-Credential=SE4EX99Q290D9S7RTH0L%2F20261014%2Fru-1%2Fs3%2Faws4_request&amp;X-Amz-Date=20261014T184131Z&amp;X-Amz-Expires=86400&amp;X-Amz-SignedHeaders=host&amp;X-Amz-Signature=2237341a0682e04011a3afcd2ef25e454c787b2277cd8fe05cc0bc7a353770f3" TargetMode="External"/><Relationship Id="rIdSnapshot54" Type="http://schemas.openxmlformats.org/officeDocument/2006/relationships/hyperlink" Target="https://s3.twcstorage.ru/bac33a93-fc8a-445a-b967-41d71601c7a5/yandex-video/2026/10/14/0e94350c909c23ad8204-829b0f22d53e4af1ac88d8f7554d17eb.html?X-Amz-Algorithm=AWS4-HMAC-SHA256&amp;X-Amz-Credential=SE4EX99Q290D9S7RTH0L%2F20261014%2Fru-1%2Fs3%2Faws4_request&amp;X-Amz-Date=20261014T184135Z&amp;X-Amz-Expires=86400&amp;X-Amz-SignedHeaders=host&amp;X-Amz-Signature=51817598338c9d18b92608ec51be36fd346ff7019648079c219037816da8123a" TargetMode="External"/><Relationship Id="rIdSnapshot55" Type="http://schemas.openxmlformats.org/officeDocument/2006/relationships/hyperlink" Target="https://s3.twcstorage.ru/bac33a93-fc8a-445a-b967-41d71601c7a5/yandex-video/2026/10/14/3e13debe2a7f1292b446-f21830152e334dd4b6363f889f5d5193.html?X-Amz-Algorithm=AWS4-HMAC-SHA256&amp;X-Amz-Credential=SE4EX99Q290D9S7RTH0L%2F20261014%2Fru-1%2Fs3%2Faws4_request&amp;X-Amz-Date=20261014T184038Z&amp;X-Amz-Expires=86400&amp;X-Amz-SignedHeaders=host&amp;X-Amz-Signature=33fcd9ed202cb8eab28460c266818a818a2e0d7ddd30e6fca40d285848971710" TargetMode="External"/><Relationship Id="rIdSnapshot56" Type="http://schemas.openxmlformats.org/officeDocument/2006/relationships/hyperlink" Target="https://s3.twcstorage.ru/bac33a93-fc8a-445a-b967-41d71601c7a5/yandex-video/2026/10/14/cb17c337a273fe0c6632-6e20843fd0c24f2bbf5dc484fc6af79d.html?X-Amz-Algorithm=AWS4-HMAC-SHA256&amp;X-Amz-Credential=SE4EX99Q290D9S7RTH0L%2F20261014%2Fru-1%2Fs3%2Faws4_request&amp;X-Amz-Date=20261014T184138Z&amp;X-Amz-Expires=86400&amp;X-Amz-SignedHeaders=host&amp;X-Amz-Signature=2b0a0fe00fe23b782ab95acb7823ef01def54e4387c2bd9af49909ae40204d6e" TargetMode="External"/><Relationship Id="rIdSnapshot57" Type="http://schemas.openxmlformats.org/officeDocument/2006/relationships/hyperlink" Target="https://s3.twcstorage.ru/bac33a93-fc8a-445a-b967-41d71601c7a5/yandex-video/2026/10/14/99626b974cbedf353e40-644051acf96f4949a01cbd4f0ee374eb.html?X-Amz-Algorithm=AWS4-HMAC-SHA256&amp;X-Amz-Credential=SE4EX99Q290D9S7RTH0L%2F20261014%2Fru-1%2Fs3%2Faws4_request&amp;X-Amz-Date=20261014T184142Z&amp;X-Amz-Expires=86400&amp;X-Amz-SignedHeaders=host&amp;X-Amz-Signature=ef9b9ff1bf8a64b25b75af7b9122a2253ecf993f8c93094e27330b2b173a5cf3" TargetMode="External"/><Relationship Id="rIdSnapshot58" Type="http://schemas.openxmlformats.org/officeDocument/2006/relationships/hyperlink" Target="https://s3.twcstorage.ru/bac33a93-fc8a-445a-b967-41d71601c7a5/yandex-video/2026/10/14/3d9bb95c6cdd706efc8b-a03295c843114e8eb0d2eb58059f0006.html?X-Amz-Algorithm=AWS4-HMAC-SHA256&amp;X-Amz-Credential=SE4EX99Q290D9S7RTH0L%2F20261014%2Fru-1%2Fs3%2Faws4_request&amp;X-Amz-Date=20261014T184047Z&amp;X-Amz-Expires=86400&amp;X-Amz-SignedHeaders=host&amp;X-Amz-Signature=3f04fa263478894ed5ba4c76f39f5c89d72197a052577b251616ade8ae55612d" TargetMode="External"/><Relationship Id="rIdSnapshot59" Type="http://schemas.openxmlformats.org/officeDocument/2006/relationships/hyperlink" Target="https://s3.twcstorage.ru/bac33a93-fc8a-445a-b967-41d71601c7a5/yandex-video/2026/10/14/e30643da58e1f51ff532-04e641fa973d43e2b44fbd8c7f38bd69.html?X-Amz-Algorithm=AWS4-HMAC-SHA256&amp;X-Amz-Credential=SE4EX99Q290D9S7RTH0L%2F20261014%2Fru-1%2Fs3%2Faws4_request&amp;X-Amz-Date=20261014T184145Z&amp;X-Amz-Expires=86400&amp;X-Amz-SignedHeaders=host&amp;X-Amz-Signature=8ff6e3b6ff2ef43cbe4496320b8e27242546204a0fb433692f396e44c14aa350" TargetMode="External"/><Relationship Id="rIdSnapshot60" Type="http://schemas.openxmlformats.org/officeDocument/2006/relationships/hyperlink" Target="https://s3.twcstorage.ru/bac33a93-fc8a-445a-b967-41d71601c7a5/yandex-video/2026/10/14/68a880bd3e29eccfd9bc-e88c7e0438c14b7a96f02b6fa9f3f820.html?X-Amz-Algorithm=AWS4-HMAC-SHA256&amp;X-Amz-Credential=SE4EX99Q290D9S7RTH0L%2F20261014%2Fru-1%2Fs3%2Faws4_request&amp;X-Amz-Date=20261014T184149Z&amp;X-Amz-Expires=86400&amp;X-Amz-SignedHeaders=host&amp;X-Amz-Signature=4590f0b88c5b6baa648b40443fe5c8ac4c8c0aef9e91cf3c9839c908b67c76aa" TargetMode="External"/><Relationship Id="rIdSnapshot61" Type="http://schemas.openxmlformats.org/officeDocument/2006/relationships/hyperlink" Target="https://s3.twcstorage.ru/bac33a93-fc8a-445a-b967-41d71601c7a5/yandex-video/2026/10/14/c3535805c6ac523da194-a941843e0c9448239e75a46f102ddef3.html?X-Amz-Algorithm=AWS4-HMAC-SHA256&amp;X-Amz-Credential=SE4EX99Q290D9S7RTH0L%2F20261014%2Fru-1%2Fs3%2Faws4_request&amp;X-Amz-Date=20261014T184053Z&amp;X-Amz-Expires=86400&amp;X-Amz-SignedHeaders=host&amp;X-Amz-Signature=aac3e58d85f48f5957760636bf0a8b78aecb672af4086b198ecbb91ca06be689" TargetMode="External"/><Relationship Id="rIdSnapshot62" Type="http://schemas.openxmlformats.org/officeDocument/2006/relationships/hyperlink" Target="https://s3.twcstorage.ru/bac33a93-fc8a-445a-b967-41d71601c7a5/yandex-video/2026/10/14/92381fc36da35b81cba7-bc82ef87e31a4fd58f96e9ad7e1e2aa3.html?X-Amz-Algorithm=AWS4-HMAC-SHA256&amp;X-Amz-Credential=SE4EX99Q290D9S7RTH0L%2F20261014%2Fru-1%2Fs3%2Faws4_request&amp;X-Amz-Date=20261014T184153Z&amp;X-Amz-Expires=86400&amp;X-Amz-SignedHeaders=host&amp;X-Amz-Signature=36732aacfc030f7c0555e1125ebbce2c393a10650a912587697e150b6976ff51" TargetMode="External"/><Relationship Id="rIdSnapshot63" Type="http://schemas.openxmlformats.org/officeDocument/2006/relationships/hyperlink" Target="https://s3.twcstorage.ru/bac33a93-fc8a-445a-b967-41d71601c7a5/yandex-video/2026/10/14/5d33a1923b87a5a6b2a4-2a0add98749d4dafb1103a82a2ac0214.html?X-Amz-Algorithm=AWS4-HMAC-SHA256&amp;X-Amz-Credential=SE4EX99Q290D9S7RTH0L%2F20261014%2Fru-1%2Fs3%2Faws4_request&amp;X-Amz-Date=20261014T184156Z&amp;X-Amz-Expires=86400&amp;X-Amz-SignedHeaders=host&amp;X-Amz-Signature=c5b35e4710366953e63309f2c4a6ddfb734df5a6e3a19fd397d59153c1735734" TargetMode="External"/><Relationship Id="rIdSnapshot64" Type="http://schemas.openxmlformats.org/officeDocument/2006/relationships/hyperlink" Target="https://s3.twcstorage.ru/bac33a93-fc8a-445a-b967-41d71601c7a5/yandex-video/2026/10/14/41c6827aaf46b5ea8ebb-3e14f800b71d440bbcb1c4ca9514e9d6.html?X-Amz-Algorithm=AWS4-HMAC-SHA256&amp;X-Amz-Credential=SE4EX99Q290D9S7RTH0L%2F20261014%2Fru-1%2Fs3%2Faws4_request&amp;X-Amz-Date=20261014T184101Z&amp;X-Amz-Expires=86400&amp;X-Amz-SignedHeaders=host&amp;X-Amz-Signature=3d16e6fd83db189eae94a597d7cc840a4b4944cb47be968ba1a839de9ab7a317" TargetMode="External"/><Relationship Id="rIdSnapshot65" Type="http://schemas.openxmlformats.org/officeDocument/2006/relationships/hyperlink" Target="https://s3.twcstorage.ru/bac33a93-fc8a-445a-b967-41d71601c7a5/yandex-video/2026/10/14/b7680426e0d3614aa7a1-e6ea75546d4b4f16b9a369f312d5c46e.html?X-Amz-Algorithm=AWS4-HMAC-SHA256&amp;X-Amz-Credential=SE4EX99Q290D9S7RTH0L%2F20261014%2Fru-1%2Fs3%2Faws4_request&amp;X-Amz-Date=20261014T184201Z&amp;X-Amz-Expires=86400&amp;X-Amz-SignedHeaders=host&amp;X-Amz-Signature=11a3744d45146599a124ec4daa99d5b7caa98d7bcab3925c12f0a8ac4828807a" TargetMode="External"/><Relationship Id="rIdSnapshot66" Type="http://schemas.openxmlformats.org/officeDocument/2006/relationships/hyperlink" Target="https://s3.twcstorage.ru/bac33a93-fc8a-445a-b967-41d71601c7a5/yandex-video/2026/10/14/785dcb8ea7b4bdc755c8-afd7a23153d340249cfd0c6af328044a.html?X-Amz-Algorithm=AWS4-HMAC-SHA256&amp;X-Amz-Credential=SE4EX99Q290D9S7RTH0L%2F20261014%2Fru-1%2Fs3%2Faws4_request&amp;X-Amz-Date=20261014T184204Z&amp;X-Amz-Expires=86400&amp;X-Amz-SignedHeaders=host&amp;X-Amz-Signature=0815bdcfae7048ca688cdfd3b796a6b07e4af27906e5fed61d915fae249460ad" TargetMode="External"/><Relationship Id="rIdSnapshot67" Type="http://schemas.openxmlformats.org/officeDocument/2006/relationships/hyperlink" Target="https://s3.twcstorage.ru/bac33a93-fc8a-445a-b967-41d71601c7a5/yandex-video/2026/10/14/4a124d1c4bc634590ae9-63a85702fb6049c8b8d3e097813169c2.html?X-Amz-Algorithm=AWS4-HMAC-SHA256&amp;X-Amz-Credential=SE4EX99Q290D9S7RTH0L%2F20261014%2Fru-1%2Fs3%2Faws4_request&amp;X-Amz-Date=20261014T184109Z&amp;X-Amz-Expires=86400&amp;X-Amz-SignedHeaders=host&amp;X-Amz-Signature=545ff4093f5d9a730129b98ee166e9ae7e359405bf903f01790cc1fc83d19c91" TargetMode="External"/><Relationship Id="rIdSnapshot68" Type="http://schemas.openxmlformats.org/officeDocument/2006/relationships/hyperlink" Target="https://s3.twcstorage.ru/bac33a93-fc8a-445a-b967-41d71601c7a5/yandex-video/2026/10/14/691f537b4c65ffeee3ba-73a2772631424e04a20df451f3a10d5e.html?X-Amz-Algorithm=AWS4-HMAC-SHA256&amp;X-Amz-Credential=SE4EX99Q290D9S7RTH0L%2F20261014%2Fru-1%2Fs3%2Faws4_request&amp;X-Amz-Date=20261014T184211Z&amp;X-Amz-Expires=86400&amp;X-Amz-SignedHeaders=host&amp;X-Amz-Signature=fb9aaa5886edc7e98db8b9551366f03724391c801328178e9941a7562ccdc180" TargetMode="External"/><Relationship Id="rIdSnapshot69" Type="http://schemas.openxmlformats.org/officeDocument/2006/relationships/hyperlink" Target="https://s3.twcstorage.ru/bac33a93-fc8a-445a-b967-41d71601c7a5/yandex-video/2026/10/14/da1f273c9a4487529c42-c7e40768b34c442cb16ed349e49908cf.html?X-Amz-Algorithm=AWS4-HMAC-SHA256&amp;X-Amz-Credential=SE4EX99Q290D9S7RTH0L%2F20261014%2Fru-1%2Fs3%2Faws4_request&amp;X-Amz-Date=20261014T184213Z&amp;X-Amz-Expires=86400&amp;X-Amz-SignedHeaders=host&amp;X-Amz-Signature=9a73c6ce3e0fbe2f0ec4a116ad41df37ea8d5763fe790b0efa28372110439763" TargetMode="External"/><Relationship Id="rIdSnapshot70" Type="http://schemas.openxmlformats.org/officeDocument/2006/relationships/hyperlink" Target="https://s3.twcstorage.ru/bac33a93-fc8a-445a-b967-41d71601c7a5/yandex-video/2026/10/14/c73793652df353dcaff5-c45dbc5d273c479e85dc3c634ecfbea9.html?X-Amz-Algorithm=AWS4-HMAC-SHA256&amp;X-Amz-Credential=SE4EX99Q290D9S7RTH0L%2F20261014%2Fru-1%2Fs3%2Faws4_request&amp;X-Amz-Date=20261014T184116Z&amp;X-Amz-Expires=86400&amp;X-Amz-SignedHeaders=host&amp;X-Amz-Signature=75ac3ae166934a303ac0f643ab7a3dae1084035c234a8cfaa8ee9190118b2d89" TargetMode="External"/><Relationship Id="rIdSnapshot71" Type="http://schemas.openxmlformats.org/officeDocument/2006/relationships/hyperlink" Target="https://s3.twcstorage.ru/bac33a93-fc8a-445a-b967-41d71601c7a5/yandex-video/2026/10/14/6b328c53f1f519ad219f-66d5dca0fd7d40e084bd21f832ccb309.html?X-Amz-Algorithm=AWS4-HMAC-SHA256&amp;X-Amz-Credential=SE4EX99Q290D9S7RTH0L%2F20261014%2Fru-1%2Fs3%2Faws4_request&amp;X-Amz-Date=20261014T184219Z&amp;X-Amz-Expires=86400&amp;X-Amz-SignedHeaders=host&amp;X-Amz-Signature=868cb8744f40d65120bf7a05a2462438ca33275e85b51259710e31337a525fa2" TargetMode="External"/><Relationship Id="rIdSnapshot72" Type="http://schemas.openxmlformats.org/officeDocument/2006/relationships/hyperlink" Target="https://s3.twcstorage.ru/bac33a93-fc8a-445a-b967-41d71601c7a5/yandex-video/2026/10/14/bf50d6fe6fbc0845d552-c1c6f7e9370645c9be93fdb0ac883668.html?X-Amz-Algorithm=AWS4-HMAC-SHA256&amp;X-Amz-Credential=SE4EX99Q290D9S7RTH0L%2F20261014%2Fru-1%2Fs3%2Faws4_request&amp;X-Amz-Date=20261014T184221Z&amp;X-Amz-Expires=86400&amp;X-Amz-SignedHeaders=host&amp;X-Amz-Signature=1408602befdff1eead01b02ad88941bcd159f5837d66014c159adf17d8774665" TargetMode="External"/><Relationship Id="rIdSnapshot73" Type="http://schemas.openxmlformats.org/officeDocument/2006/relationships/hyperlink" Target="https://s3.twcstorage.ru/bac33a93-fc8a-445a-b967-41d71601c7a5/yandex-video/2026/10/14/5aa2aa687715c09b2bcf-2203160c44f04a97955d22866a0645b3.html?X-Amz-Algorithm=AWS4-HMAC-SHA256&amp;X-Amz-Credential=SE4EX99Q290D9S7RTH0L%2F20261014%2Fru-1%2Fs3%2Faws4_request&amp;X-Amz-Date=20261014T184124Z&amp;X-Amz-Expires=86400&amp;X-Amz-SignedHeaders=host&amp;X-Amz-Signature=9b97934f57242351db0dea1a1ce947876dfa7d74cae0a44aba5ef1f48363ef9f" TargetMode="External"/><Relationship Id="rIdSnapshot74" Type="http://schemas.openxmlformats.org/officeDocument/2006/relationships/hyperlink" Target="https://s3.twcstorage.ru/bac33a93-fc8a-445a-b967-41d71601c7a5/yandex-video/2026/10/14/f2f25af23e58b2e06c81-90d6e09807274824a5d8430bca3085fb.html?X-Amz-Algorithm=AWS4-HMAC-SHA256&amp;X-Amz-Credential=SE4EX99Q290D9S7RTH0L%2F20261014%2Fru-1%2Fs3%2Faws4_request&amp;X-Amz-Date=20261014T184227Z&amp;X-Amz-Expires=86400&amp;X-Amz-SignedHeaders=host&amp;X-Amz-Signature=4a5f4d5922728ebb749793645f317043129675516ad01a358af26c8ed6c9b393" TargetMode="External"/><Relationship Id="rIdSnapshot75" Type="http://schemas.openxmlformats.org/officeDocument/2006/relationships/hyperlink" Target="https://s3.twcstorage.ru/bac33a93-fc8a-445a-b967-41d71601c7a5/yandex-video/2026/10/14/d75897a3373c31074f10-d1c7b456de634e56a632dd76a4592c88.html?X-Amz-Algorithm=AWS4-HMAC-SHA256&amp;X-Amz-Credential=SE4EX99Q290D9S7RTH0L%2F20261014%2Fru-1%2Fs3%2Faws4_request&amp;X-Amz-Date=20261014T184230Z&amp;X-Amz-Expires=86400&amp;X-Amz-SignedHeaders=host&amp;X-Amz-Signature=62dc8dda4010650d67b85475d5ece53a6ac7b5a3b7903c9188a16ab305675b4d" TargetMode="External"/><Relationship Id="rIdSnapshot76" Type="http://schemas.openxmlformats.org/officeDocument/2006/relationships/hyperlink" Target="https://s3.twcstorage.ru/bac33a93-fc8a-445a-b967-41d71601c7a5/yandex-video/2026/10/14/548445d27cb85ea6f672-77d3a9dbc15a4ce0a8d6c7ab307cf0d1.html?X-Amz-Algorithm=AWS4-HMAC-SHA256&amp;X-Amz-Credential=SE4EX99Q290D9S7RTH0L%2F20261014%2Fru-1%2Fs3%2Faws4_request&amp;X-Amz-Date=20261014T184131Z&amp;X-Amz-Expires=86400&amp;X-Amz-SignedHeaders=host&amp;X-Amz-Signature=713c2f3c2374cf3a15de72c5886f2966649478e217df41cc04b4403686fec64d" TargetMode="External"/><Relationship Id="rIdSnapshot77" Type="http://schemas.openxmlformats.org/officeDocument/2006/relationships/hyperlink" Target="https://s3.twcstorage.ru/bac33a93-fc8a-445a-b967-41d71601c7a5/yandex-video/2026/10/14/1c1614f79405d32b0a82-f93b0394e9b340558d7279803be1935c.html?X-Amz-Algorithm=AWS4-HMAC-SHA256&amp;X-Amz-Credential=SE4EX99Q290D9S7RTH0L%2F20261014%2Fru-1%2Fs3%2Faws4_request&amp;X-Amz-Date=20261014T184240Z&amp;X-Amz-Expires=86400&amp;X-Amz-SignedHeaders=host&amp;X-Amz-Signature=529b3e9e72c9180824b2d37a1e95e8e3d3ca5847bfb51e631410452a2adf7901" TargetMode="External"/><Relationship Id="rIdSnapshot78" Type="http://schemas.openxmlformats.org/officeDocument/2006/relationships/hyperlink" Target="https://s3.twcstorage.ru/bac33a93-fc8a-445a-b967-41d71601c7a5/yandex-video/2026/10/14/0f068201c0f19ca4a14c-dd6db96f32644ef3b68ace9850dddc53.html?X-Amz-Algorithm=AWS4-HMAC-SHA256&amp;X-Amz-Credential=SE4EX99Q290D9S7RTH0L%2F20261014%2Fru-1%2Fs3%2Faws4_request&amp;X-Amz-Date=20261014T184237Z&amp;X-Amz-Expires=86400&amp;X-Amz-SignedHeaders=host&amp;X-Amz-Signature=a06c31f156144b711ee129f8364eec751d3a23121ffdbf863f0ba3e819413b0a" TargetMode="External"/><Relationship Id="rIdSnapshot79" Type="http://schemas.openxmlformats.org/officeDocument/2006/relationships/hyperlink" Target="https://s3.twcstorage.ru/bac33a93-fc8a-445a-b967-41d71601c7a5/yandex-video/2026/10/14/727906d5230796f0abb0-42a63ba5b5fa4319b6035226eee97215.html?X-Amz-Algorithm=AWS4-HMAC-SHA256&amp;X-Amz-Credential=SE4EX99Q290D9S7RTH0L%2F20261014%2Fru-1%2Fs3%2Faws4_request&amp;X-Amz-Date=20261014T184139Z&amp;X-Amz-Expires=86400&amp;X-Amz-SignedHeaders=host&amp;X-Amz-Signature=d08edbc7d061231254fc6c3d62fb55e8c73d7dd5a0d49cc276bbb6c70e88afac" TargetMode="External"/><Relationship Id="rIdSnapshot80" Type="http://schemas.openxmlformats.org/officeDocument/2006/relationships/hyperlink" Target="https://s3.twcstorage.ru/bac33a93-fc8a-445a-b967-41d71601c7a5/yandex-video/2026/10/14/b6d8e3b48eaa908d4897-cc29394825a2414fa4dce0f303ee7032.html?X-Amz-Algorithm=AWS4-HMAC-SHA256&amp;X-Amz-Credential=SE4EX99Q290D9S7RTH0L%2F20261014%2Fru-1%2Fs3%2Faws4_request&amp;X-Amz-Date=20261014T184248Z&amp;X-Amz-Expires=86400&amp;X-Amz-SignedHeaders=host&amp;X-Amz-Signature=b492d0c903f699e725655c19c9dd74017a4856c71a2c7c87dd6c94012164e771" TargetMode="External"/><Relationship Id="rIdSnapshot81" Type="http://schemas.openxmlformats.org/officeDocument/2006/relationships/hyperlink" Target="https://s3.twcstorage.ru/bac33a93-fc8a-445a-b967-41d71601c7a5/yandex-video/2026/10/14/2a77c8cbf28725a2103b-4dd947a8fceb4e54a282a63773cd030b.html?X-Amz-Algorithm=AWS4-HMAC-SHA256&amp;X-Amz-Credential=SE4EX99Q290D9S7RTH0L%2F20261014%2Fru-1%2Fs3%2Faws4_request&amp;X-Amz-Date=20261014T184245Z&amp;X-Amz-Expires=86400&amp;X-Amz-SignedHeaders=host&amp;X-Amz-Signature=01fc680b94ad507d5d01be2f872b1523ddcee204c992f3b436b4089b5635b270" TargetMode="External"/><Relationship Id="rIdSnapshot82" Type="http://schemas.openxmlformats.org/officeDocument/2006/relationships/hyperlink" Target="https://s3.twcstorage.ru/bac33a93-fc8a-445a-b967-41d71601c7a5/yandex-video/2026/10/14/c533b02ca392c86bc90f-4053d24955ba4098849480c14d81600e.html?X-Amz-Algorithm=AWS4-HMAC-SHA256&amp;X-Amz-Credential=SE4EX99Q290D9S7RTH0L%2F20261014%2Fru-1%2Fs3%2Faws4_request&amp;X-Amz-Date=20261014T184147Z&amp;X-Amz-Expires=86400&amp;X-Amz-SignedHeaders=host&amp;X-Amz-Signature=082247c416a91ac66afcb988a2e199c7dd9e348eb4b8241edaf81b9e62b235a9" TargetMode="External"/><Relationship Id="rIdSnapshot83" Type="http://schemas.openxmlformats.org/officeDocument/2006/relationships/hyperlink" Target="https://s3.twcstorage.ru/bac33a93-fc8a-445a-b967-41d71601c7a5/yandex-video/2026/10/14/d0df23cfd9ba763f9902-8190a86acb1f41559b05bd466ebe0a9c.html?X-Amz-Algorithm=AWS4-HMAC-SHA256&amp;X-Amz-Credential=SE4EX99Q290D9S7RTH0L%2F20261014%2Fru-1%2Fs3%2Faws4_request&amp;X-Amz-Date=20261014T184256Z&amp;X-Amz-Expires=86400&amp;X-Amz-SignedHeaders=host&amp;X-Amz-Signature=b98fe2772a3ea2cba01ec85a9fef9848cdcbf7dad66fb9aa1db747221adeb058" TargetMode="External"/><Relationship Id="rIdSnapshot84" Type="http://schemas.openxmlformats.org/officeDocument/2006/relationships/hyperlink" Target="https://s3.twcstorage.ru/bac33a93-fc8a-445a-b967-41d71601c7a5/yandex-video/2026/10/14/7dd1ef7bd80db1e69cb2-6990cd6f60134353a3309c939b8455d1.html?X-Amz-Algorithm=AWS4-HMAC-SHA256&amp;X-Amz-Credential=SE4EX99Q290D9S7RTH0L%2F20261014%2Fru-1%2Fs3%2Faws4_request&amp;X-Amz-Date=20261014T184254Z&amp;X-Amz-Expires=86400&amp;X-Amz-SignedHeaders=host&amp;X-Amz-Signature=d11094070598c8af7568998e99dff01f08f735f69821672dc0585c57ce493fa9" TargetMode="External"/><Relationship Id="rIdSnapshot85" Type="http://schemas.openxmlformats.org/officeDocument/2006/relationships/hyperlink" Target="https://s3.twcstorage.ru/bac33a93-fc8a-445a-b967-41d71601c7a5/yandex-video/2026/10/14/2dc511b2b27850871e84-00ab42fb687a4bcebc943d05bb3bf2a9.html?X-Amz-Algorithm=AWS4-HMAC-SHA256&amp;X-Amz-Credential=SE4EX99Q290D9S7RTH0L%2F20261014%2Fru-1%2Fs3%2Faws4_request&amp;X-Amz-Date=20261014T184209Z&amp;X-Amz-Expires=86400&amp;X-Amz-SignedHeaders=host&amp;X-Amz-Signature=8864b0804748ea8238446753fc4f093eb362d96e863807924cad1b935e6c4793" TargetMode="External"/><Relationship Id="rIdSnapshot86" Type="http://schemas.openxmlformats.org/officeDocument/2006/relationships/hyperlink" Target="https://s3.twcstorage.ru/bac33a93-fc8a-445a-b967-41d71601c7a5/yandex-video/2026/10/14/bef162656a94f598baab-d558e0cb5d9249f99853e4a97735fde8.html?X-Amz-Algorithm=AWS4-HMAC-SHA256&amp;X-Amz-Credential=SE4EX99Q290D9S7RTH0L%2F20261014%2Fru-1%2Fs3%2Faws4_request&amp;X-Amz-Date=20261014T184304Z&amp;X-Amz-Expires=86400&amp;X-Amz-SignedHeaders=host&amp;X-Amz-Signature=afd8fff190f3a2669228f3309ec1646bb0a8b26040ef48dcd7eac92fb7162e27" TargetMode="External"/><Relationship Id="rIdSnapshot87" Type="http://schemas.openxmlformats.org/officeDocument/2006/relationships/hyperlink" Target="https://s3.twcstorage.ru/bac33a93-fc8a-445a-b967-41d71601c7a5/yandex-video/2026/10/14/c6f272531878f046517a-387bca4ccb5543b392926407bafab2ad.html?X-Amz-Algorithm=AWS4-HMAC-SHA256&amp;X-Amz-Credential=SE4EX99Q290D9S7RTH0L%2F20261014%2Fru-1%2Fs3%2Faws4_request&amp;X-Amz-Date=20261014T184302Z&amp;X-Amz-Expires=86400&amp;X-Amz-SignedHeaders=host&amp;X-Amz-Signature=32e256f74aeb505cfb899953738ab54a2f3323122ddbdb3967e316df3e14aa83" TargetMode="External"/><Relationship Id="rIdSnapshot88" Type="http://schemas.openxmlformats.org/officeDocument/2006/relationships/hyperlink" Target="https://s3.twcstorage.ru/bac33a93-fc8a-445a-b967-41d71601c7a5/yandex-video/2026/10/14/656dea7207c16f243aca-a855beab900e4da296904c33dd11fd9f.html?X-Amz-Algorithm=AWS4-HMAC-SHA256&amp;X-Amz-Credential=SE4EX99Q290D9S7RTH0L%2F20261014%2Fru-1%2Fs3%2Faws4_request&amp;X-Amz-Date=20261014T184217Z&amp;X-Amz-Expires=86400&amp;X-Amz-SignedHeaders=host&amp;X-Amz-Signature=d930ea52ea8e38246161a68a7603477f2c8513baa18dd5cb6997bd89994cedcc" TargetMode="External"/><Relationship Id="rIdSnapshot89" Type="http://schemas.openxmlformats.org/officeDocument/2006/relationships/hyperlink" Target="https://s3.twcstorage.ru/bac33a93-fc8a-445a-b967-41d71601c7a5/yandex-video/2026/10/14/f336b5f598c1758ce570-71a7e64924ae4946b4e312f4e7fcf018.html?X-Amz-Algorithm=AWS4-HMAC-SHA256&amp;X-Amz-Credential=SE4EX99Q290D9S7RTH0L%2F20261014%2Fru-1%2Fs3%2Faws4_request&amp;X-Amz-Date=20261014T184312Z&amp;X-Amz-Expires=86400&amp;X-Amz-SignedHeaders=host&amp;X-Amz-Signature=8e852c14a17b4f0da4de92beb7b3cbf27984c0feb29ad10eb554a389379d2dd9" TargetMode="External"/><Relationship Id="rIdSnapshot90" Type="http://schemas.openxmlformats.org/officeDocument/2006/relationships/hyperlink" Target="https://s3.twcstorage.ru/bac33a93-fc8a-445a-b967-41d71601c7a5/yandex-video/2026/10/14/54bc6f11f4cef42431b8-e37ab08f41084ba58c68ec1b0d3fcf8e.html?X-Amz-Algorithm=AWS4-HMAC-SHA256&amp;X-Amz-Credential=SE4EX99Q290D9S7RTH0L%2F20261014%2Fru-1%2Fs3%2Faws4_request&amp;X-Amz-Date=20261014T184311Z&amp;X-Amz-Expires=86400&amp;X-Amz-SignedHeaders=host&amp;X-Amz-Signature=c670636278123d67f44ca3900e3e68c402052ce07c34d8a64d33605f91b25893" TargetMode="External"/><Relationship Id="rIdSnapshot91" Type="http://schemas.openxmlformats.org/officeDocument/2006/relationships/hyperlink" Target="https://s3.twcstorage.ru/bac33a93-fc8a-445a-b967-41d71601c7a5/yandex-video/2026/10/14/b52c9a76296c7ab42e5c-e823cf5e52b04b43abde69c084c6851b.html?X-Amz-Algorithm=AWS4-HMAC-SHA256&amp;X-Amz-Credential=SE4EX99Q290D9S7RTH0L%2F20261014%2Fru-1%2Fs3%2Faws4_request&amp;X-Amz-Date=20261014T184225Z&amp;X-Amz-Expires=86400&amp;X-Amz-SignedHeaders=host&amp;X-Amz-Signature=bccb3edbea43653b81ddba3c8bee80c093bc9cc97948beb3b255a992030f6aaa" TargetMode="External"/><Relationship Id="rIdSnapshot92" Type="http://schemas.openxmlformats.org/officeDocument/2006/relationships/hyperlink" Target="https://s3.twcstorage.ru/bac33a93-fc8a-445a-b967-41d71601c7a5/yandex-video/2026/10/14/425d1d0e61703fbfe39c-6c56b769f9444e8e9f254658f1bc4a35.html?X-Amz-Algorithm=AWS4-HMAC-SHA256&amp;X-Amz-Credential=SE4EX99Q290D9S7RTH0L%2F20261014%2Fru-1%2Fs3%2Faws4_request&amp;X-Amz-Date=20261014T184323Z&amp;X-Amz-Expires=86400&amp;X-Amz-SignedHeaders=host&amp;X-Amz-Signature=ee98d30c1031854d0a73836abdbdf58dc047cc8d709d8091187450504b8771a6" TargetMode="External"/><Relationship Id="rIdSnapshot93" Type="http://schemas.openxmlformats.org/officeDocument/2006/relationships/hyperlink" Target="https://s3.twcstorage.ru/bac33a93-fc8a-445a-b967-41d71601c7a5/yandex-video/2026/10/14/08d4724af1fcd1675762-5ac2373d842a4f54b14f4494a994f711.html?X-Amz-Algorithm=AWS4-HMAC-SHA256&amp;X-Amz-Credential=SE4EX99Q290D9S7RTH0L%2F20261014%2Fru-1%2Fs3%2Faws4_request&amp;X-Amz-Date=20261014T184322Z&amp;X-Amz-Expires=86400&amp;X-Amz-SignedHeaders=host&amp;X-Amz-Signature=b3b822a4e21d82027284a949f76d80f775ec8be5e495579f7e965a96c24b115d" TargetMode="External"/><Relationship Id="rIdSnapshot94" Type="http://schemas.openxmlformats.org/officeDocument/2006/relationships/hyperlink" Target="https://s3.twcstorage.ru/bac33a93-fc8a-445a-b967-41d71601c7a5/yandex-video/2026/10/14/54bb237ab10596a6104c-bf83717997f94ff3b181d88ca3661c44.html?X-Amz-Algorithm=AWS4-HMAC-SHA256&amp;X-Amz-Credential=SE4EX99Q290D9S7RTH0L%2F20261014%2Fru-1%2Fs3%2Faws4_request&amp;X-Amz-Date=20261014T184234Z&amp;X-Amz-Expires=86400&amp;X-Amz-SignedHeaders=host&amp;X-Amz-Signature=1a6d49e777ff126464e6afa52cba8c2c31f62179bf5c2ba1cc2f438710bf482d" TargetMode="External"/><Relationship Id="rIdSnapshot95" Type="http://schemas.openxmlformats.org/officeDocument/2006/relationships/hyperlink" Target="https://s3.twcstorage.ru/bac33a93-fc8a-445a-b967-41d71601c7a5/yandex-video/2026/10/14/2a98a7b42986011f2ab7-713e736721944c5bb701257c43bc16a5.html?X-Amz-Algorithm=AWS4-HMAC-SHA256&amp;X-Amz-Credential=SE4EX99Q290D9S7RTH0L%2F20261014%2Fru-1%2Fs3%2Faws4_request&amp;X-Amz-Date=20261014T184332Z&amp;X-Amz-Expires=86400&amp;X-Amz-SignedHeaders=host&amp;X-Amz-Signature=7ad08c01ced18aa727221380ff793b0e00d11e8679bc3da241c062de68277ea6" TargetMode="External"/><Relationship Id="rIdSnapshot96" Type="http://schemas.openxmlformats.org/officeDocument/2006/relationships/hyperlink" Target="https://s3.twcstorage.ru/bac33a93-fc8a-445a-b967-41d71601c7a5/yandex-video/2026/10/14/0ccce9bed51dccdc38fe-11277aa3dc5e4d23ae65bb3379c25ae1.html?X-Amz-Algorithm=AWS4-HMAC-SHA256&amp;X-Amz-Credential=SE4EX99Q290D9S7RTH0L%2F20261014%2Fru-1%2Fs3%2Faws4_request&amp;X-Amz-Date=20261014T184330Z&amp;X-Amz-Expires=86400&amp;X-Amz-SignedHeaders=host&amp;X-Amz-Signature=93fcbcc9ff1936cc874ca38b613cd4325f6533a190bbee52982b76e13d427235" TargetMode="External"/><Relationship Id="rIdSnapshot97" Type="http://schemas.openxmlformats.org/officeDocument/2006/relationships/hyperlink" Target="https://s3.twcstorage.ru/bac33a93-fc8a-445a-b967-41d71601c7a5/yandex-video/2026/10/14/d8f90e15e0f8d83ff77e-6aa5717f40d24ba48635ec4993505289.html?X-Amz-Algorithm=AWS4-HMAC-SHA256&amp;X-Amz-Credential=SE4EX99Q290D9S7RTH0L%2F20261014%2Fru-1%2Fs3%2Faws4_request&amp;X-Amz-Date=20261014T184245Z&amp;X-Amz-Expires=86400&amp;X-Amz-SignedHeaders=host&amp;X-Amz-Signature=e0929eddbd3c9f57c778159ecb9fb9b9fc14ef2e21923316b92e54591e80a3ff" TargetMode="External"/><Relationship Id="rIdSnapshot98" Type="http://schemas.openxmlformats.org/officeDocument/2006/relationships/hyperlink" Target="https://s3.twcstorage.ru/bac33a93-fc8a-445a-b967-41d71601c7a5/yandex-video/2026/10/14/6548e475c1ebf0e48c29-07cc017ab542487d8d66c20be458db06.html?X-Amz-Algorithm=AWS4-HMAC-SHA256&amp;X-Amz-Credential=SE4EX99Q290D9S7RTH0L%2F20261014%2Fru-1%2Fs3%2Faws4_request&amp;X-Amz-Date=20261014T184342Z&amp;X-Amz-Expires=86400&amp;X-Amz-SignedHeaders=host&amp;X-Amz-Signature=ee1e29c8012a17623712c27701d709c4b8b5b5301ff36ed4b9c81b309374fc71" TargetMode="External"/><Relationship Id="rIdSnapshot99" Type="http://schemas.openxmlformats.org/officeDocument/2006/relationships/hyperlink" Target="https://s3.twcstorage.ru/bac33a93-fc8a-445a-b967-41d71601c7a5/yandex-video/2026/10/14/0736c5a7f2b8464a98c3-4fd6fa38d03c487794c9f9df87c58470.html?X-Amz-Algorithm=AWS4-HMAC-SHA256&amp;X-Amz-Credential=SE4EX99Q290D9S7RTH0L%2F20261014%2Fru-1%2Fs3%2Faws4_request&amp;X-Amz-Date=20261014T184340Z&amp;X-Amz-Expires=86400&amp;X-Amz-SignedHeaders=host&amp;X-Amz-Signature=49482192eaddc3daffcaae4198be21dd2a7b00fdb486c9345f6a01ac20faa837" TargetMode="External"/><Relationship Id="rIdSnapshot100" Type="http://schemas.openxmlformats.org/officeDocument/2006/relationships/hyperlink" Target="https://s3.twcstorage.ru/bac33a93-fc8a-445a-b967-41d71601c7a5/yandex-video/2026/10/14/8ec38d7edf39704a9c46-80c7492349fe4ce885c09fba6258eb7a.html?X-Amz-Algorithm=AWS4-HMAC-SHA256&amp;X-Amz-Credential=SE4EX99Q290D9S7RTH0L%2F20261014%2Fru-1%2Fs3%2Faws4_request&amp;X-Amz-Date=20261014T184254Z&amp;X-Amz-Expires=86400&amp;X-Amz-SignedHeaders=host&amp;X-Amz-Signature=a332cda9a769cfd439b58270451892819875826862033d875a787e5aba927d36" TargetMode="External"/><Relationship Id="rIdSnapshot101" Type="http://schemas.openxmlformats.org/officeDocument/2006/relationships/hyperlink" Target="https://s3.twcstorage.ru/bac33a93-fc8a-445a-b967-41d71601c7a5/yandex-video/2026/10/14/d878893490495374d517-2036577a61fa45d9a0e6b276a98a355b.html?X-Amz-Algorithm=AWS4-HMAC-SHA256&amp;X-Amz-Credential=SE4EX99Q290D9S7RTH0L%2F20261014%2Fru-1%2Fs3%2Faws4_request&amp;X-Amz-Date=20261014T184350Z&amp;X-Amz-Expires=86400&amp;X-Amz-SignedHeaders=host&amp;X-Amz-Signature=c5db78cc78ac1a36d9891aeda9b78dd399a7db1aea20a91e42ee3e079079b3c9" TargetMode="External"/><Relationship Id="rIdSnapshot102" Type="http://schemas.openxmlformats.org/officeDocument/2006/relationships/hyperlink" Target="https://s3.twcstorage.ru/bac33a93-fc8a-445a-b967-41d71601c7a5/yandex-video/2026/10/14/e5ddb77916cc96032048-26f3b00f532c4b3681ef86676740e232.html?X-Amz-Algorithm=AWS4-HMAC-SHA256&amp;X-Amz-Credential=SE4EX99Q290D9S7RTH0L%2F20261014%2Fru-1%2Fs3%2Faws4_request&amp;X-Amz-Date=20261014T184347Z&amp;X-Amz-Expires=86400&amp;X-Amz-SignedHeaders=host&amp;X-Amz-Signature=64a760c5e138be72da5379304d46a5b52d40c9e23cdf227b56371572b2bc0eab" TargetMode="External"/></Relationships>
</file>

<file path=xl/worksheets/_rels/sheet4.xml.rels><?xml version='1.0' encoding='UTF-8' standalone='yes'?>
<Relationships xmlns="http://schemas.openxmlformats.org/package/2006/relationships"><Relationship Id="rId151" Type="http://schemas.openxmlformats.org/officeDocument/2006/relationships/drawing" Target="../drawings/drawing4.xml"/><Relationship Id="rIdSnapshot3" Type="http://schemas.openxmlformats.org/officeDocument/2006/relationships/hyperlink" Target="https://s3.twcstorage.ru/bac33a93-fc8a-445a-b967-41d71601c7a5/yandex-video/2026/10/14/d0d819e68d594f8d1248-d550bad4f7a543cdaa4109f607389c2d.html?X-Amz-Algorithm=AWS4-HMAC-SHA256&amp;X-Amz-Credential=SE4EX99Q290D9S7RTH0L%2F20261014%2Fru-1%2Fs3%2Faws4_request&amp;X-Amz-Date=20261014T183521Z&amp;X-Amz-Expires=86400&amp;X-Amz-SignedHeaders=host&amp;X-Amz-Signature=0e3ca62c31ba16ff463282900a901d5ad18fd109044760cf1097d1faab1c0606" TargetMode="External"/><Relationship Id="rIdSnapshot4" Type="http://schemas.openxmlformats.org/officeDocument/2006/relationships/hyperlink" Target="https://s3.twcstorage.ru/bac33a93-fc8a-445a-b967-41d71601c7a5/yandex-video/2026/10/14/e3133ba3eb29307d6026-2cdfcaf38b2a43139d978567bb790eae.html?X-Amz-Algorithm=AWS4-HMAC-SHA256&amp;X-Amz-Credential=SE4EX99Q290D9S7RTH0L%2F20261014%2Fru-1%2Fs3%2Faws4_request&amp;X-Amz-Date=20261014T183528Z&amp;X-Amz-Expires=86400&amp;X-Amz-SignedHeaders=host&amp;X-Amz-Signature=27cf547fdd18528ba79ee191eeb9019a05763c05240a9e90192cee3a19614581" TargetMode="External"/><Relationship Id="rIdSnapshot5" Type="http://schemas.openxmlformats.org/officeDocument/2006/relationships/hyperlink" Target="https://s3.twcstorage.ru/bac33a93-fc8a-445a-b967-41d71601c7a5/yandex-video/2026/10/14/ba911326d9935945661b-688cf8ccd4b94a80a33612c983ced49a.html?X-Amz-Algorithm=AWS4-HMAC-SHA256&amp;X-Amz-Credential=SE4EX99Q290D9S7RTH0L%2F20261014%2Fru-1%2Fs3%2Faws4_request&amp;X-Amz-Date=20261014T183537Z&amp;X-Amz-Expires=86400&amp;X-Amz-SignedHeaders=host&amp;X-Amz-Signature=23c6942a658cd13d6f655634df375764a5b8481ba1f567f738db79d5058a196a" TargetMode="External"/><Relationship Id="rIdSnapshot6" Type="http://schemas.openxmlformats.org/officeDocument/2006/relationships/hyperlink" Target="https://s3.twcstorage.ru/bac33a93-fc8a-445a-b967-41d71601c7a5/yandex-video/2026/10/14/3294f676a937085d580a-068dc61a1bac444a8ed6ca2ce127b1ec.html?X-Amz-Algorithm=AWS4-HMAC-SHA256&amp;X-Amz-Credential=SE4EX99Q290D9S7RTH0L%2F20261014%2Fru-1%2Fs3%2Faws4_request&amp;X-Amz-Date=20261014T183544Z&amp;X-Amz-Expires=86400&amp;X-Amz-SignedHeaders=host&amp;X-Amz-Signature=cdd18fa695ec3e5b7dd665cbe4b9ce24b79a1a2d92d6529736dd82a137df9fa2" TargetMode="External"/><Relationship Id="rIdSnapshot7" Type="http://schemas.openxmlformats.org/officeDocument/2006/relationships/hyperlink" Target="https://s3.twcstorage.ru/bac33a93-fc8a-445a-b967-41d71601c7a5/yandex-video/2026/10/14/53653aa6a237c0d77d04-56df62e2e634476b9ea211e0d189a72c.html?X-Amz-Algorithm=AWS4-HMAC-SHA256&amp;X-Amz-Credential=SE4EX99Q290D9S7RTH0L%2F20261014%2Fru-1%2Fs3%2Faws4_request&amp;X-Amz-Date=20261014T183552Z&amp;X-Amz-Expires=86400&amp;X-Amz-SignedHeaders=host&amp;X-Amz-Signature=e77cd9714dce7344cf5f6600b93c40ac7cfbeb20b5b31383441012b03154c200" TargetMode="External"/><Relationship Id="rIdSnapshot8" Type="http://schemas.openxmlformats.org/officeDocument/2006/relationships/hyperlink" Target="https://s3.twcstorage.ru/bac33a93-fc8a-445a-b967-41d71601c7a5/yandex-video/2026/10/14/cc1b76c585a3eb56da5c-c0c362820c084d519e2a8d7be9aacc45.html?X-Amz-Algorithm=AWS4-HMAC-SHA256&amp;X-Amz-Credential=SE4EX99Q290D9S7RTH0L%2F20261014%2Fru-1%2Fs3%2Faws4_request&amp;X-Amz-Date=20261014T183559Z&amp;X-Amz-Expires=86400&amp;X-Amz-SignedHeaders=host&amp;X-Amz-Signature=fb4733ab8a03d04e5ef833b78c16a96f5635b1c542276018b281d8a7efb5350d" TargetMode="External"/><Relationship Id="rIdSnapshot9" Type="http://schemas.openxmlformats.org/officeDocument/2006/relationships/hyperlink" Target="https://s3.twcstorage.ru/bac33a93-fc8a-445a-b967-41d71601c7a5/yandex-video/2026/10/14/84359a4c592b46da8718-f597cbb47bda48ecba44ae35ad4f7e4b.html?X-Amz-Algorithm=AWS4-HMAC-SHA256&amp;X-Amz-Credential=SE4EX99Q290D9S7RTH0L%2F20261014%2Fru-1%2Fs3%2Faws4_request&amp;X-Amz-Date=20261014T183606Z&amp;X-Amz-Expires=86400&amp;X-Amz-SignedHeaders=host&amp;X-Amz-Signature=8ebde0bfe98629d2a9044436c2c8a160eff0ea58c1e8b70d0baf3dee8125b4c0" TargetMode="External"/><Relationship Id="rIdSnapshot10" Type="http://schemas.openxmlformats.org/officeDocument/2006/relationships/hyperlink" Target="https://s3.twcstorage.ru/bac33a93-fc8a-445a-b967-41d71601c7a5/yandex-video/2026/10/14/7fcece57d50b949e16c1-72501635c80b48d8bfe9a1653d51827f.html?X-Amz-Algorithm=AWS4-HMAC-SHA256&amp;X-Amz-Credential=SE4EX99Q290D9S7RTH0L%2F20261014%2Fru-1%2Fs3%2Faws4_request&amp;X-Amz-Date=20261014T183615Z&amp;X-Amz-Expires=86400&amp;X-Amz-SignedHeaders=host&amp;X-Amz-Signature=b994cfe8a2b22a105c5360727b0881f4eee38f7bc79e963b43c308c10fd99868" TargetMode="External"/><Relationship Id="rIdSnapshot11" Type="http://schemas.openxmlformats.org/officeDocument/2006/relationships/hyperlink" Target="https://s3.twcstorage.ru/bac33a93-fc8a-445a-b967-41d71601c7a5/yandex-video/2026/10/14/37a922b61398ff479aa4-0f10e18b6e604e95919d9ee7be15228a.html?X-Amz-Algorithm=AWS4-HMAC-SHA256&amp;X-Amz-Credential=SE4EX99Q290D9S7RTH0L%2F20261014%2Fru-1%2Fs3%2Faws4_request&amp;X-Amz-Date=20261014T183624Z&amp;X-Amz-Expires=86400&amp;X-Amz-SignedHeaders=host&amp;X-Amz-Signature=7b2394baaf6669584c0b10bc8ef79e38d835845b6622ca9cab7ea3b93806019f" TargetMode="External"/><Relationship Id="rIdSnapshot12" Type="http://schemas.openxmlformats.org/officeDocument/2006/relationships/hyperlink" Target="https://s3.twcstorage.ru/bac33a93-fc8a-445a-b967-41d71601c7a5/yandex-video/2026/10/14/5b97eeeff93e663d4dd9-f1c81fc698f14364b49079a8c525eb64.html?X-Amz-Algorithm=AWS4-HMAC-SHA256&amp;X-Amz-Credential=SE4EX99Q290D9S7RTH0L%2F20261014%2Fru-1%2Fs3%2Faws4_request&amp;X-Amz-Date=20261014T183632Z&amp;X-Amz-Expires=86400&amp;X-Amz-SignedHeaders=host&amp;X-Amz-Signature=98c9bf59b3aee5b4d868690111ac44d089f31178f73a9fc219555411c35f6fbf" TargetMode="External"/><Relationship Id="rIdSnapshot13" Type="http://schemas.openxmlformats.org/officeDocument/2006/relationships/hyperlink" Target="https://s3.twcstorage.ru/bac33a93-fc8a-445a-b967-41d71601c7a5/yandex-video/2026/10/14/50e7a513d35930374ae6-fc04852247a44852968d489d04115418.html?X-Amz-Algorithm=AWS4-HMAC-SHA256&amp;X-Amz-Credential=SE4EX99Q290D9S7RTH0L%2F20261014%2Fru-1%2Fs3%2Faws4_request&amp;X-Amz-Date=20261014T183641Z&amp;X-Amz-Expires=86400&amp;X-Amz-SignedHeaders=host&amp;X-Amz-Signature=b2e6433757485c8c8337dd473d64bb9790b37d0dd0a04e34457de0dffa0e258e" TargetMode="External"/><Relationship Id="rIdSnapshot14" Type="http://schemas.openxmlformats.org/officeDocument/2006/relationships/hyperlink" Target="https://s3.twcstorage.ru/bac33a93-fc8a-445a-b967-41d71601c7a5/yandex-video/2026/10/14/b3e8eeea41e6d13fdd4f-bbe3599d3caf4bdfa85824bf109bd053.html?X-Amz-Algorithm=AWS4-HMAC-SHA256&amp;X-Amz-Credential=SE4EX99Q290D9S7RTH0L%2F20261014%2Fru-1%2Fs3%2Faws4_request&amp;X-Amz-Date=20261014T184421Z&amp;X-Amz-Expires=86400&amp;X-Amz-SignedHeaders=host&amp;X-Amz-Signature=c391edd377248c8edbad03877a09efdabb2880fac78c9aa217f6ef98bae2189e" TargetMode="External"/><Relationship Id="rIdSnapshot15" Type="http://schemas.openxmlformats.org/officeDocument/2006/relationships/hyperlink" Target="https://s3.twcstorage.ru/bac33a93-fc8a-445a-b967-41d71601c7a5/yandex-video/2026/10/14/eb801f5ae9bc146bcf35-92aae6841c104573a313b46e4d508def.html?X-Amz-Algorithm=AWS4-HMAC-SHA256&amp;X-Amz-Credential=SE4EX99Q290D9S7RTH0L%2F20261014%2Fru-1%2Fs3%2Faws4_request&amp;X-Amz-Date=20261014T183750Z&amp;X-Amz-Expires=86400&amp;X-Amz-SignedHeaders=host&amp;X-Amz-Signature=f6d092eb8ff28ff1d8f0760ebb1f40604c642ead822c20280bf7918563760b4b" TargetMode="External"/><Relationship Id="rIdSnapshot16" Type="http://schemas.openxmlformats.org/officeDocument/2006/relationships/hyperlink" Target="https://s3.twcstorage.ru/bac33a93-fc8a-445a-b967-41d71601c7a5/yandex-video/2026/10/14/b3eae5ab075d530ac045-da7f04ee715b49aba01cd2e2fb5c7a9b.html?X-Amz-Algorithm=AWS4-HMAC-SHA256&amp;X-Amz-Credential=SE4EX99Q290D9S7RTH0L%2F20261014%2Fru-1%2Fs3%2Faws4_request&amp;X-Amz-Date=20261014T183758Z&amp;X-Amz-Expires=86400&amp;X-Amz-SignedHeaders=host&amp;X-Amz-Signature=831f4bcc455a036216debab9f9878750f9f13bc4f107ac73678b4c93a333c5a4" TargetMode="External"/><Relationship Id="rIdSnapshot17" Type="http://schemas.openxmlformats.org/officeDocument/2006/relationships/hyperlink" Target="https://s3.twcstorage.ru/bac33a93-fc8a-445a-b967-41d71601c7a5/yandex-video/2026/10/14/bd31daab25fdbe46e106-499b419615374de6a9cecbbc12f0779f.html?X-Amz-Algorithm=AWS4-HMAC-SHA256&amp;X-Amz-Credential=SE4EX99Q290D9S7RTH0L%2F20261014%2Fru-1%2Fs3%2Faws4_request&amp;X-Amz-Date=20261014T183807Z&amp;X-Amz-Expires=86400&amp;X-Amz-SignedHeaders=host&amp;X-Amz-Signature=733eee5ac56256a1d3dea451982bd9ac80d9b790612701e1dfdb82dedf9e4741" TargetMode="External"/><Relationship Id="rIdSnapshot18" Type="http://schemas.openxmlformats.org/officeDocument/2006/relationships/hyperlink" Target="https://s3.twcstorage.ru/bac33a93-fc8a-445a-b967-41d71601c7a5/yandex-video/2026/10/14/7ed4d2c8a9ffb019356b-3c9437a116ac4b908d900706ef4e2c65.html?X-Amz-Algorithm=AWS4-HMAC-SHA256&amp;X-Amz-Credential=SE4EX99Q290D9S7RTH0L%2F20261014%2Fru-1%2Fs3%2Faws4_request&amp;X-Amz-Date=20261014T183815Z&amp;X-Amz-Expires=86400&amp;X-Amz-SignedHeaders=host&amp;X-Amz-Signature=f4c2025f01b82fae28bd981390d22ea8165221bfb347bd536c71647949bc9bcb" TargetMode="External"/><Relationship Id="rIdSnapshot19" Type="http://schemas.openxmlformats.org/officeDocument/2006/relationships/hyperlink" Target="https://s3.twcstorage.ru/bac33a93-fc8a-445a-b967-41d71601c7a5/yandex-video/2026/10/14/64dc3e4226ba17c7c5d2-6a2323876dd445d0bdfb04d36be0dfaf.html?X-Amz-Algorithm=AWS4-HMAC-SHA256&amp;X-Amz-Credential=SE4EX99Q290D9S7RTH0L%2F20261014%2Fru-1%2Fs3%2Faws4_request&amp;X-Amz-Date=20261014T183822Z&amp;X-Amz-Expires=86400&amp;X-Amz-SignedHeaders=host&amp;X-Amz-Signature=fdbd74d5f0e22ddd0f378b53912a3e07e87df11fa8a12107ed483f6d8026261a" TargetMode="External"/><Relationship Id="rIdSnapshot20" Type="http://schemas.openxmlformats.org/officeDocument/2006/relationships/hyperlink" Target="https://s3.twcstorage.ru/bac33a93-fc8a-445a-b967-41d71601c7a5/yandex-video/2026/10/14/355553a07c63f47fe55f-c1d94d5f9297438b8ef83055c4027f7a.html?X-Amz-Algorithm=AWS4-HMAC-SHA256&amp;X-Amz-Credential=SE4EX99Q290D9S7RTH0L%2F20261014%2Fru-1%2Fs3%2Faws4_request&amp;X-Amz-Date=20261014T183829Z&amp;X-Amz-Expires=86400&amp;X-Amz-SignedHeaders=host&amp;X-Amz-Signature=1c7516435b9e3f3753154289b96fc1e7a282580a66751f1db410be44cd7a8a6b" TargetMode="External"/><Relationship Id="rIdSnapshot21" Type="http://schemas.openxmlformats.org/officeDocument/2006/relationships/hyperlink" Target="https://s3.twcstorage.ru/bac33a93-fc8a-445a-b967-41d71601c7a5/yandex-video/2026/10/14/6bf90b7420bdb275fb9d-a81fd6ba1ef243d1ba61dfa0f80afb20.html?X-Amz-Algorithm=AWS4-HMAC-SHA256&amp;X-Amz-Credential=SE4EX99Q290D9S7RTH0L%2F20261014%2Fru-1%2Fs3%2Faws4_request&amp;X-Amz-Date=20261014T183837Z&amp;X-Amz-Expires=86400&amp;X-Amz-SignedHeaders=host&amp;X-Amz-Signature=edbdd1eb993263f3d02fee40db114fe693c4a56fd92b173b53d2fbfb3e00bb44" TargetMode="External"/><Relationship Id="rIdSnapshot22" Type="http://schemas.openxmlformats.org/officeDocument/2006/relationships/hyperlink" Target="https://s3.twcstorage.ru/bac33a93-fc8a-445a-b967-41d71601c7a5/yandex-video/2026/10/14/4fae54cd7b80e15d1507-82765d689378421999e7999c90803d29.html?X-Amz-Algorithm=AWS4-HMAC-SHA256&amp;X-Amz-Credential=SE4EX99Q290D9S7RTH0L%2F20261014%2Fru-1%2Fs3%2Faws4_request&amp;X-Amz-Date=20261014T183844Z&amp;X-Amz-Expires=86400&amp;X-Amz-SignedHeaders=host&amp;X-Amz-Signature=cfa248d27a0b2312326bdc23f5a2d246258285da3d96060b06ca32635016e6db" TargetMode="External"/><Relationship Id="rIdSnapshot23" Type="http://schemas.openxmlformats.org/officeDocument/2006/relationships/hyperlink" Target="https://s3.twcstorage.ru/bac33a93-fc8a-445a-b967-41d71601c7a5/yandex-video/2026/10/14/f924ffe5b885a60c2273-eb38c5ef2825446091588e7de0947d5d.html?X-Amz-Algorithm=AWS4-HMAC-SHA256&amp;X-Amz-Credential=SE4EX99Q290D9S7RTH0L%2F20261014%2Fru-1%2Fs3%2Faws4_request&amp;X-Amz-Date=20261014T183853Z&amp;X-Amz-Expires=86400&amp;X-Amz-SignedHeaders=host&amp;X-Amz-Signature=663475c8d7d01f7f7da96ffcab52dfaacd3d5c13ff3ba2e26821bdacb837c69b" TargetMode="External"/><Relationship Id="rIdSnapshot24" Type="http://schemas.openxmlformats.org/officeDocument/2006/relationships/hyperlink" Target="https://s3.twcstorage.ru/bac33a93-fc8a-445a-b967-41d71601c7a5/yandex-video/2026/10/14/88b2203916182c8b8938-1816c9895c344fd09286c0b58af8d1fa.html?X-Amz-Algorithm=AWS4-HMAC-SHA256&amp;X-Amz-Credential=SE4EX99Q290D9S7RTH0L%2F20261014%2Fru-1%2Fs3%2Faws4_request&amp;X-Amz-Date=20261014T183910Z&amp;X-Amz-Expires=86400&amp;X-Amz-SignedHeaders=host&amp;X-Amz-Signature=138ef7a687b6a34883960070cc6481ed8adc32f3e2a1fa4abf780215a10252fd" TargetMode="External"/><Relationship Id="rIdSnapshot25" Type="http://schemas.openxmlformats.org/officeDocument/2006/relationships/hyperlink" Target="https://s3.twcstorage.ru/bac33a93-fc8a-445a-b967-41d71601c7a5/yandex-video/2026/10/14/b755230f171c7e6f1eef-7e44638b79d14919bda1b37614b28bac.html?X-Amz-Algorithm=AWS4-HMAC-SHA256&amp;X-Amz-Credential=SE4EX99Q290D9S7RTH0L%2F20261014%2Fru-1%2Fs3%2Faws4_request&amp;X-Amz-Date=20261014T183911Z&amp;X-Amz-Expires=86400&amp;X-Amz-SignedHeaders=host&amp;X-Amz-Signature=da67678b17fc73c7993e31d6b2b9a67cdecf9d83c773286ac89e74d7de088eea" TargetMode="External"/><Relationship Id="rIdSnapshot26" Type="http://schemas.openxmlformats.org/officeDocument/2006/relationships/hyperlink" Target="https://s3.twcstorage.ru/bac33a93-fc8a-445a-b967-41d71601c7a5/yandex-video/2026/10/14/0c5b0dfe5782d3202cca-e5e567c192084474b8b86d095ec14b28.html?X-Amz-Algorithm=AWS4-HMAC-SHA256&amp;X-Amz-Credential=SE4EX99Q290D9S7RTH0L%2F20261014%2Fru-1%2Fs3%2Faws4_request&amp;X-Amz-Date=20261014T184012Z&amp;X-Amz-Expires=86400&amp;X-Amz-SignedHeaders=host&amp;X-Amz-Signature=57918a16a89c5da595e5db6d4f2e64971f3d4fa742c0f41f8bd9761114130010" TargetMode="External"/><Relationship Id="rIdSnapshot27" Type="http://schemas.openxmlformats.org/officeDocument/2006/relationships/hyperlink" Target="https://s3.twcstorage.ru/bac33a93-fc8a-445a-b967-41d71601c7a5/yandex-video/2026/10/14/60607e4e12103dc1d904-89ece19904124e4b8379f07c29e5130f.html?X-Amz-Algorithm=AWS4-HMAC-SHA256&amp;X-Amz-Credential=SE4EX99Q290D9S7RTH0L%2F20261014%2Fru-1%2Fs3%2Faws4_request&amp;X-Amz-Date=20261014T183918Z&amp;X-Amz-Expires=86400&amp;X-Amz-SignedHeaders=host&amp;X-Amz-Signature=5654a47771dd7ddc6b9e9751397b500ddc47274d22cd1809e7e040e2958de822" TargetMode="External"/><Relationship Id="rIdSnapshot28" Type="http://schemas.openxmlformats.org/officeDocument/2006/relationships/hyperlink" Target="https://s3.twcstorage.ru/bac33a93-fc8a-445a-b967-41d71601c7a5/yandex-video/2026/10/14/25dec4fd30ad36d20de1-86e05fbfa68e4767a092beb2a37094a9.html?X-Amz-Algorithm=AWS4-HMAC-SHA256&amp;X-Amz-Credential=SE4EX99Q290D9S7RTH0L%2F20261014%2Fru-1%2Fs3%2Faws4_request&amp;X-Amz-Date=20261014T183921Z&amp;X-Amz-Expires=86400&amp;X-Amz-SignedHeaders=host&amp;X-Amz-Signature=85d50f98dcf50883e87449500f5b9a27645c55eafa11be7abc45bcc8cd37b928" TargetMode="External"/><Relationship Id="rIdSnapshot29" Type="http://schemas.openxmlformats.org/officeDocument/2006/relationships/hyperlink" Target="https://s3.twcstorage.ru/bac33a93-fc8a-445a-b967-41d71601c7a5/yandex-video/2026/10/14/4274ea77b5fe7357a9ac-84822c0d443b4032ac2bacbdddffb36f.html?X-Amz-Algorithm=AWS4-HMAC-SHA256&amp;X-Amz-Credential=SE4EX99Q290D9S7RTH0L%2F20261014%2Fru-1%2Fs3%2Faws4_request&amp;X-Amz-Date=20261014T184020Z&amp;X-Amz-Expires=86400&amp;X-Amz-SignedHeaders=host&amp;X-Amz-Signature=28b95a412c5bb29cd8520c30ab2c015293bc55ba18bc1c06b4df8b3f13487225" TargetMode="External"/><Relationship Id="rIdSnapshot30" Type="http://schemas.openxmlformats.org/officeDocument/2006/relationships/hyperlink" Target="https://s3.twcstorage.ru/bac33a93-fc8a-445a-b967-41d71601c7a5/yandex-video/2026/10/14/3a25e22616d0072057ae-948679a549e646dcbc860a4fca263a49.html?X-Amz-Algorithm=AWS4-HMAC-SHA256&amp;X-Amz-Credential=SE4EX99Q290D9S7RTH0L%2F20261014%2Fru-1%2Fs3%2Faws4_request&amp;X-Amz-Date=20261014T183927Z&amp;X-Amz-Expires=86400&amp;X-Amz-SignedHeaders=host&amp;X-Amz-Signature=96f0897c1d9fffbc2b73a092e5d840d681b746c6641d31641839893999ff7d5b" TargetMode="External"/><Relationship Id="rIdSnapshot31" Type="http://schemas.openxmlformats.org/officeDocument/2006/relationships/hyperlink" Target="https://s3.twcstorage.ru/bac33a93-fc8a-445a-b967-41d71601c7a5/yandex-video/2026/10/14/8f28aa494b5b42a62a46-8943d14e399c41bd9c8f4061b91fb6bb.html?X-Amz-Algorithm=AWS4-HMAC-SHA256&amp;X-Amz-Credential=SE4EX99Q290D9S7RTH0L%2F20261014%2Fru-1%2Fs3%2Faws4_request&amp;X-Amz-Date=20261014T183931Z&amp;X-Amz-Expires=86400&amp;X-Amz-SignedHeaders=host&amp;X-Amz-Signature=cb924231325b5ce45d6fe91967ddb596ceddf6f055ffc6290d4dc32b79043d51" TargetMode="External"/><Relationship Id="rIdSnapshot32" Type="http://schemas.openxmlformats.org/officeDocument/2006/relationships/hyperlink" Target="https://s3.twcstorage.ru/bac33a93-fc8a-445a-b967-41d71601c7a5/yandex-video/2026/10/14/686c966388e834e1f255-af51aa3efae5440b82164952f42cec06.html?X-Amz-Algorithm=AWS4-HMAC-SHA256&amp;X-Amz-Credential=SE4EX99Q290D9S7RTH0L%2F20261014%2Fru-1%2Fs3%2Faws4_request&amp;X-Amz-Date=20261014T184030Z&amp;X-Amz-Expires=86400&amp;X-Amz-SignedHeaders=host&amp;X-Amz-Signature=6647d1639049926b85647ad3c249e095fab53b21a10a879c29e4b8812f88ca24" TargetMode="External"/><Relationship Id="rIdSnapshot33" Type="http://schemas.openxmlformats.org/officeDocument/2006/relationships/hyperlink" Target="https://s3.twcstorage.ru/bac33a93-fc8a-445a-b967-41d71601c7a5/yandex-video/2026/10/14/3ad923e7e31454cb590d-5eaa84e9f9514488bb9eba0ad114c704.html?X-Amz-Algorithm=AWS4-HMAC-SHA256&amp;X-Amz-Credential=SE4EX99Q290D9S7RTH0L%2F20261014%2Fru-1%2Fs3%2Faws4_request&amp;X-Amz-Date=20261014T183935Z&amp;X-Amz-Expires=86400&amp;X-Amz-SignedHeaders=host&amp;X-Amz-Signature=d6ad46691bf5b63819798805147356e3732708f186d40ae40fe26a4f71c4408f" TargetMode="External"/><Relationship Id="rIdSnapshot34" Type="http://schemas.openxmlformats.org/officeDocument/2006/relationships/hyperlink" Target="https://s3.twcstorage.ru/bac33a93-fc8a-445a-b967-41d71601c7a5/yandex-video/2026/10/14/8f41cc7fcd0edc392a3a-7ab4247530714dd897105041d73b4319.html?X-Amz-Algorithm=AWS4-HMAC-SHA256&amp;X-Amz-Credential=SE4EX99Q290D9S7RTH0L%2F20261014%2Fru-1%2Fs3%2Faws4_request&amp;X-Amz-Date=20261014T183939Z&amp;X-Amz-Expires=86400&amp;X-Amz-SignedHeaders=host&amp;X-Amz-Signature=daa7c61d49ac78ace5598a8166507f603cf469921f3dbcdfea29356d15c54cdf" TargetMode="External"/><Relationship Id="rIdSnapshot35" Type="http://schemas.openxmlformats.org/officeDocument/2006/relationships/hyperlink" Target="https://s3.twcstorage.ru/bac33a93-fc8a-445a-b967-41d71601c7a5/yandex-video/2026/10/14/806b314ad1bac277347d-9775abb1185b40c88a635d4135814e8f.html?X-Amz-Algorithm=AWS4-HMAC-SHA256&amp;X-Amz-Credential=SE4EX99Q290D9S7RTH0L%2F20261014%2Fru-1%2Fs3%2Faws4_request&amp;X-Amz-Date=20261014T184040Z&amp;X-Amz-Expires=86400&amp;X-Amz-SignedHeaders=host&amp;X-Amz-Signature=17d98f53d78dd28407cd5011ba0925c1bc296b9e48cfee257a7cfc7c6337dc5e" TargetMode="External"/><Relationship Id="rIdSnapshot36" Type="http://schemas.openxmlformats.org/officeDocument/2006/relationships/hyperlink" Target="https://s3.twcstorage.ru/bac33a93-fc8a-445a-b967-41d71601c7a5/yandex-video/2026/10/14/f53e7bb3bb9efa29a766-0d65479557854176b1e0940296321c6f.html?X-Amz-Algorithm=AWS4-HMAC-SHA256&amp;X-Amz-Credential=SE4EX99Q290D9S7RTH0L%2F20261014%2Fru-1%2Fs3%2Faws4_request&amp;X-Amz-Date=20261014T183943Z&amp;X-Amz-Expires=86400&amp;X-Amz-SignedHeaders=host&amp;X-Amz-Signature=08102ba60f8457b478e0ee0d8d1a6c8b79d7557f2dd84db52e1d26fa0bb2f4c1" TargetMode="External"/><Relationship Id="rIdSnapshot37" Type="http://schemas.openxmlformats.org/officeDocument/2006/relationships/hyperlink" Target="https://s3.twcstorage.ru/bac33a93-fc8a-445a-b967-41d71601c7a5/yandex-video/2026/10/14/aca7972f3b806ceb3a27-498f9f88e06c4e7b833fc45723da9d87.html?X-Amz-Algorithm=AWS4-HMAC-SHA256&amp;X-Amz-Credential=SE4EX99Q290D9S7RTH0L%2F20261014%2Fru-1%2Fs3%2Faws4_request&amp;X-Amz-Date=20261014T183948Z&amp;X-Amz-Expires=86400&amp;X-Amz-SignedHeaders=host&amp;X-Amz-Signature=09010565f18883246ed9a21e6b15ba06a4279bf806a34848993b8653714f7115" TargetMode="External"/><Relationship Id="rIdSnapshot38" Type="http://schemas.openxmlformats.org/officeDocument/2006/relationships/hyperlink" Target="https://s3.twcstorage.ru/bac33a93-fc8a-445a-b967-41d71601c7a5/yandex-video/2026/10/14/8b4ba6df260a7347d0e6-38c6c8884ec445249b57b91fc0121454.html?X-Amz-Algorithm=AWS4-HMAC-SHA256&amp;X-Amz-Credential=SE4EX99Q290D9S7RTH0L%2F20261014%2Fru-1%2Fs3%2Faws4_request&amp;X-Amz-Date=20261014T184051Z&amp;X-Amz-Expires=86400&amp;X-Amz-SignedHeaders=host&amp;X-Amz-Signature=b59551061b9ca2309213770fd92a530584f9d9c41a6a0a4649462129d49d0435" TargetMode="External"/><Relationship Id="rIdSnapshot39" Type="http://schemas.openxmlformats.org/officeDocument/2006/relationships/hyperlink" Target="https://s3.twcstorage.ru/bac33a93-fc8a-445a-b967-41d71601c7a5/yandex-video/2026/10/14/85193c01be427662d7c1-b13c5f76d392405cb234209a522f6a19.html?X-Amz-Algorithm=AWS4-HMAC-SHA256&amp;X-Amz-Credential=SE4EX99Q290D9S7RTH0L%2F20261014%2Fru-1%2Fs3%2Faws4_request&amp;X-Amz-Date=20261014T184022Z&amp;X-Amz-Expires=86400&amp;X-Amz-SignedHeaders=host&amp;X-Amz-Signature=cf579d3930d7cd95d4bf58123cc102286418b1819f2f96db04245a54476ff4f9" TargetMode="External"/><Relationship Id="rIdSnapshot40" Type="http://schemas.openxmlformats.org/officeDocument/2006/relationships/hyperlink" Target="https://s3.twcstorage.ru/bac33a93-fc8a-445a-b967-41d71601c7a5/yandex-video/2026/10/14/28a4f598d801c7a9d2b4-5d39a423420c427b8a3e76fd634050b1.html?X-Amz-Algorithm=AWS4-HMAC-SHA256&amp;X-Amz-Credential=SE4EX99Q290D9S7RTH0L%2F20261014%2Fru-1%2Fs3%2Faws4_request&amp;X-Amz-Date=20261014T183956Z&amp;X-Amz-Expires=86400&amp;X-Amz-SignedHeaders=host&amp;X-Amz-Signature=2818ff5cf9af2c40a0b9c20cab7a27d742aecca8a4a328921e0feb18f0094d73" TargetMode="External"/><Relationship Id="rIdSnapshot41" Type="http://schemas.openxmlformats.org/officeDocument/2006/relationships/hyperlink" Target="https://s3.twcstorage.ru/bac33a93-fc8a-445a-b967-41d71601c7a5/yandex-video/2026/10/14/195f020abc1ead29ba97-0827135f11034e749d700106acf29d13.html?X-Amz-Algorithm=AWS4-HMAC-SHA256&amp;X-Amz-Credential=SE4EX99Q290D9S7RTH0L%2F20261014%2Fru-1%2Fs3%2Faws4_request&amp;X-Amz-Date=20261014T184059Z&amp;X-Amz-Expires=86400&amp;X-Amz-SignedHeaders=host&amp;X-Amz-Signature=8198b832c9b4768ef5626c592d2088adcef0ae1cc7fa43b954e9dba5dc3af203" TargetMode="External"/><Relationship Id="rIdSnapshot42" Type="http://schemas.openxmlformats.org/officeDocument/2006/relationships/hyperlink" Target="https://s3.twcstorage.ru/bac33a93-fc8a-445a-b967-41d71601c7a5/yandex-video/2026/10/14/f5e2e38e146d7fc0d37b-bd423a9aa06e444dad9f9c69e4d18a25.html?X-Amz-Algorithm=AWS4-HMAC-SHA256&amp;X-Amz-Credential=SE4EX99Q290D9S7RTH0L%2F20261014%2Fru-1%2Fs3%2Faws4_request&amp;X-Amz-Date=20261014T184033Z&amp;X-Amz-Expires=86400&amp;X-Amz-SignedHeaders=host&amp;X-Amz-Signature=23f8278bedb1f6c8dd9bf412795b8db8313e92e3b378be55979900d82e29993a" TargetMode="External"/><Relationship Id="rIdSnapshot43" Type="http://schemas.openxmlformats.org/officeDocument/2006/relationships/hyperlink" Target="https://s3.twcstorage.ru/bac33a93-fc8a-445a-b967-41d71601c7a5/yandex-video/2026/10/14/915485bd60647c67ef6b-dd005a81d3f84b40851ba5ce255d3448.html?X-Amz-Algorithm=AWS4-HMAC-SHA256&amp;X-Amz-Credential=SE4EX99Q290D9S7RTH0L%2F20261014%2Fru-1%2Fs3%2Faws4_request&amp;X-Amz-Date=20261014T184003Z&amp;X-Amz-Expires=86400&amp;X-Amz-SignedHeaders=host&amp;X-Amz-Signature=b67e2a66a9d256a9ee2ff840103d96a5fcfb3112c1e6a05a06cd23f746b3ec48" TargetMode="External"/><Relationship Id="rIdSnapshot44" Type="http://schemas.openxmlformats.org/officeDocument/2006/relationships/hyperlink" Target="https://s3.twcstorage.ru/bac33a93-fc8a-445a-b967-41d71601c7a5/yandex-video/2026/10/14/7ae628d17d3d5ea41552-a64468318b4e49e6812a908a7ff6b45f.html?X-Amz-Algorithm=AWS4-HMAC-SHA256&amp;X-Amz-Credential=SE4EX99Q290D9S7RTH0L%2F20261014%2Fru-1%2Fs3%2Faws4_request&amp;X-Amz-Date=20261014T184107Z&amp;X-Amz-Expires=86400&amp;X-Amz-SignedHeaders=host&amp;X-Amz-Signature=0c2dd09b3c336877d5ba86e02ff999a630124bb4b6eee839748ce9a2383207a8" TargetMode="External"/><Relationship Id="rIdSnapshot45" Type="http://schemas.openxmlformats.org/officeDocument/2006/relationships/hyperlink" Target="https://s3.twcstorage.ru/bac33a93-fc8a-445a-b967-41d71601c7a5/yandex-video/2026/10/14/d5b6d697e44170b450e8-0fd8eca868bd406e97a16403e75352cb.html?X-Amz-Algorithm=AWS4-HMAC-SHA256&amp;X-Amz-Credential=SE4EX99Q290D9S7RTH0L%2F20261014%2Fru-1%2Fs3%2Faws4_request&amp;X-Amz-Date=20261014T184041Z&amp;X-Amz-Expires=86400&amp;X-Amz-SignedHeaders=host&amp;X-Amz-Signature=035024df82958fe837d1c2c2ff4225074e687d7778fcd41b89bcab75127d12da" TargetMode="External"/><Relationship Id="rIdSnapshot46" Type="http://schemas.openxmlformats.org/officeDocument/2006/relationships/hyperlink" Target="https://s3.twcstorage.ru/bac33a93-fc8a-445a-b967-41d71601c7a5/yandex-video/2026/10/14/c1456ae7b6877a58e7c0-d9725b8f4d3b4ad7bc691707caa20169.html?X-Amz-Algorithm=AWS4-HMAC-SHA256&amp;X-Amz-Credential=SE4EX99Q290D9S7RTH0L%2F20261014%2Fru-1%2Fs3%2Faws4_request&amp;X-Amz-Date=20261014T184010Z&amp;X-Amz-Expires=86400&amp;X-Amz-SignedHeaders=host&amp;X-Amz-Signature=5d04b2099ff3c4405e5f3935e50dea38d837691faeb8c84fbb1620fe0338e8f8" TargetMode="External"/><Relationship Id="rIdSnapshot47" Type="http://schemas.openxmlformats.org/officeDocument/2006/relationships/hyperlink" Target="https://s3.twcstorage.ru/bac33a93-fc8a-445a-b967-41d71601c7a5/yandex-video/2026/10/14/592616c3dd8ad06bfe0b-098b211a5da64bae936c0cc09ae1fb3a.html?X-Amz-Algorithm=AWS4-HMAC-SHA256&amp;X-Amz-Credential=SE4EX99Q290D9S7RTH0L%2F20261014%2Fru-1%2Fs3%2Faws4_request&amp;X-Amz-Date=20261014T184115Z&amp;X-Amz-Expires=86400&amp;X-Amz-SignedHeaders=host&amp;X-Amz-Signature=1dfa5759e11986a3f213238e7c6cf8cad00cbc081aa9d7f23ad6440e9b106a40" TargetMode="External"/><Relationship Id="rIdSnapshot48" Type="http://schemas.openxmlformats.org/officeDocument/2006/relationships/hyperlink" Target="https://s3.twcstorage.ru/bac33a93-fc8a-445a-b967-41d71601c7a5/yandex-video/2026/10/14/be24e2729486bf23617a-eeb6c00aebea488b96015de88f5363da.html?X-Amz-Algorithm=AWS4-HMAC-SHA256&amp;X-Amz-Credential=SE4EX99Q290D9S7RTH0L%2F20261014%2Fru-1%2Fs3%2Faws4_request&amp;X-Amz-Date=20261014T184119Z&amp;X-Amz-Expires=86400&amp;X-Amz-SignedHeaders=host&amp;X-Amz-Signature=4ec5c0280d9a584ed5145443bd8d0bb7236d02bd5d2be52cce925e4bb4b43208" TargetMode="External"/><Relationship Id="rIdSnapshot49" Type="http://schemas.openxmlformats.org/officeDocument/2006/relationships/hyperlink" Target="https://s3.twcstorage.ru/bac33a93-fc8a-445a-b967-41d71601c7a5/yandex-video/2026/10/14/5542e058c389778fe5e2-24cecb9fbf144e478ae72301d1f235a3.html?X-Amz-Algorithm=AWS4-HMAC-SHA256&amp;X-Amz-Credential=SE4EX99Q290D9S7RTH0L%2F20261014%2Fru-1%2Fs3%2Faws4_request&amp;X-Amz-Date=20261014T184019Z&amp;X-Amz-Expires=86400&amp;X-Amz-SignedHeaders=host&amp;X-Amz-Signature=392ead0b7dc3629a4ece65ae41cdd6ca9b9384fd931376be3a89d3fbd98f40e6" TargetMode="External"/><Relationship Id="rIdSnapshot50" Type="http://schemas.openxmlformats.org/officeDocument/2006/relationships/hyperlink" Target="https://s3.twcstorage.ru/bac33a93-fc8a-445a-b967-41d71601c7a5/yandex-video/2026/10/14/66aae6a436394f05a7b6-f2747523bf574f7da64cd55f52c4ebc9.html?X-Amz-Algorithm=AWS4-HMAC-SHA256&amp;X-Amz-Credential=SE4EX99Q290D9S7RTH0L%2F20261014%2Fru-1%2Fs3%2Faws4_request&amp;X-Amz-Date=20261014T184123Z&amp;X-Amz-Expires=86400&amp;X-Amz-SignedHeaders=host&amp;X-Amz-Signature=bfc663022346a95e9766e216e24a26f0c6188873b81b92507c2758a81034b70d" TargetMode="External"/><Relationship Id="rIdSnapshot51" Type="http://schemas.openxmlformats.org/officeDocument/2006/relationships/hyperlink" Target="https://s3.twcstorage.ru/bac33a93-fc8a-445a-b967-41d71601c7a5/yandex-video/2026/10/14/0ac5ff3cd567ca859d06-f13290c3ad044eb19e111aa5b5a67546.html?X-Amz-Algorithm=AWS4-HMAC-SHA256&amp;X-Amz-Credential=SE4EX99Q290D9S7RTH0L%2F20261014%2Fru-1%2Fs3%2Faws4_request&amp;X-Amz-Date=20261014T184127Z&amp;X-Amz-Expires=86400&amp;X-Amz-SignedHeaders=host&amp;X-Amz-Signature=8a7c0c7a4c73d1d843da8de9cb8d9e2cd1fa2a6418dcc8ca51bc5f4dabe2c026" TargetMode="External"/><Relationship Id="rIdSnapshot52" Type="http://schemas.openxmlformats.org/officeDocument/2006/relationships/hyperlink" Target="https://s3.twcstorage.ru/bac33a93-fc8a-445a-b967-41d71601c7a5/yandex-video/2026/10/14/f3ba2d3ee8291907376a-3a441b13e10d4f4daba660ffb68a24eb.html?X-Amz-Algorithm=AWS4-HMAC-SHA256&amp;X-Amz-Credential=SE4EX99Q290D9S7RTH0L%2F20261014%2Fru-1%2Fs3%2Faws4_request&amp;X-Amz-Date=20261014T184027Z&amp;X-Amz-Expires=86400&amp;X-Amz-SignedHeaders=host&amp;X-Amz-Signature=b8033e4fd7eea004b6988f21cb9c37f04cefa33cf24cb899d9cb3758decb48a6" TargetMode="External"/><Relationship Id="rIdSnapshot53" Type="http://schemas.openxmlformats.org/officeDocument/2006/relationships/hyperlink" Target="https://s3.twcstorage.ru/bac33a93-fc8a-445a-b967-41d71601c7a5/yandex-video/2026/10/14/d91d7635d454693119ae-c755a9d87eed43e1ad4f5b2190bb61c0.html?X-Amz-Algorithm=AWS4-HMAC-SHA256&amp;X-Amz-Credential=SE4EX99Q290D9S7RTH0L%2F20261014%2Fru-1%2Fs3%2Faws4_request&amp;X-Amz-Date=20261014T184131Z&amp;X-Amz-Expires=86400&amp;X-Amz-SignedHeaders=host&amp;X-Amz-Signature=2237341a0682e04011a3afcd2ef25e454c787b2277cd8fe05cc0bc7a353770f3" TargetMode="External"/><Relationship Id="rIdSnapshot54" Type="http://schemas.openxmlformats.org/officeDocument/2006/relationships/hyperlink" Target="https://s3.twcstorage.ru/bac33a93-fc8a-445a-b967-41d71601c7a5/yandex-video/2026/10/14/0e94350c909c23ad8204-829b0f22d53e4af1ac88d8f7554d17eb.html?X-Amz-Algorithm=AWS4-HMAC-SHA256&amp;X-Amz-Credential=SE4EX99Q290D9S7RTH0L%2F20261014%2Fru-1%2Fs3%2Faws4_request&amp;X-Amz-Date=20261014T184135Z&amp;X-Amz-Expires=86400&amp;X-Amz-SignedHeaders=host&amp;X-Amz-Signature=51817598338c9d18b92608ec51be36fd346ff7019648079c219037816da8123a" TargetMode="External"/><Relationship Id="rIdSnapshot55" Type="http://schemas.openxmlformats.org/officeDocument/2006/relationships/hyperlink" Target="https://s3.twcstorage.ru/bac33a93-fc8a-445a-b967-41d71601c7a5/yandex-video/2026/10/14/3e13debe2a7f1292b446-f21830152e334dd4b6363f889f5d5193.html?X-Amz-Algorithm=AWS4-HMAC-SHA256&amp;X-Amz-Credential=SE4EX99Q290D9S7RTH0L%2F20261014%2Fru-1%2Fs3%2Faws4_request&amp;X-Amz-Date=20261014T184038Z&amp;X-Amz-Expires=86400&amp;X-Amz-SignedHeaders=host&amp;X-Amz-Signature=33fcd9ed202cb8eab28460c266818a818a2e0d7ddd30e6fca40d285848971710" TargetMode="External"/><Relationship Id="rIdSnapshot56" Type="http://schemas.openxmlformats.org/officeDocument/2006/relationships/hyperlink" Target="https://s3.twcstorage.ru/bac33a93-fc8a-445a-b967-41d71601c7a5/yandex-video/2026/10/14/cb17c337a273fe0c6632-6e20843fd0c24f2bbf5dc484fc6af79d.html?X-Amz-Algorithm=AWS4-HMAC-SHA256&amp;X-Amz-Credential=SE4EX99Q290D9S7RTH0L%2F20261014%2Fru-1%2Fs3%2Faws4_request&amp;X-Amz-Date=20261014T184138Z&amp;X-Amz-Expires=86400&amp;X-Amz-SignedHeaders=host&amp;X-Amz-Signature=2b0a0fe00fe23b782ab95acb7823ef01def54e4387c2bd9af49909ae40204d6e" TargetMode="External"/><Relationship Id="rIdSnapshot57" Type="http://schemas.openxmlformats.org/officeDocument/2006/relationships/hyperlink" Target="https://s3.twcstorage.ru/bac33a93-fc8a-445a-b967-41d71601c7a5/yandex-video/2026/10/14/99626b974cbedf353e40-644051acf96f4949a01cbd4f0ee374eb.html?X-Amz-Algorithm=AWS4-HMAC-SHA256&amp;X-Amz-Credential=SE4EX99Q290D9S7RTH0L%2F20261014%2Fru-1%2Fs3%2Faws4_request&amp;X-Amz-Date=20261014T184142Z&amp;X-Amz-Expires=86400&amp;X-Amz-SignedHeaders=host&amp;X-Amz-Signature=ef9b9ff1bf8a64b25b75af7b9122a2253ecf993f8c93094e27330b2b173a5cf3" TargetMode="External"/><Relationship Id="rIdSnapshot58" Type="http://schemas.openxmlformats.org/officeDocument/2006/relationships/hyperlink" Target="https://s3.twcstorage.ru/bac33a93-fc8a-445a-b967-41d71601c7a5/yandex-video/2026/10/14/3d9bb95c6cdd706efc8b-a03295c843114e8eb0d2eb58059f0006.html?X-Amz-Algorithm=AWS4-HMAC-SHA256&amp;X-Amz-Credential=SE4EX99Q290D9S7RTH0L%2F20261014%2Fru-1%2Fs3%2Faws4_request&amp;X-Amz-Date=20261014T184047Z&amp;X-Amz-Expires=86400&amp;X-Amz-SignedHeaders=host&amp;X-Amz-Signature=3f04fa263478894ed5ba4c76f39f5c89d72197a052577b251616ade8ae55612d" TargetMode="External"/><Relationship Id="rIdSnapshot59" Type="http://schemas.openxmlformats.org/officeDocument/2006/relationships/hyperlink" Target="https://s3.twcstorage.ru/bac33a93-fc8a-445a-b967-41d71601c7a5/yandex-video/2026/10/14/e30643da58e1f51ff532-04e641fa973d43e2b44fbd8c7f38bd69.html?X-Amz-Algorithm=AWS4-HMAC-SHA256&amp;X-Amz-Credential=SE4EX99Q290D9S7RTH0L%2F20261014%2Fru-1%2Fs3%2Faws4_request&amp;X-Amz-Date=20261014T184145Z&amp;X-Amz-Expires=86400&amp;X-Amz-SignedHeaders=host&amp;X-Amz-Signature=8ff6e3b6ff2ef43cbe4496320b8e27242546204a0fb433692f396e44c14aa350" TargetMode="External"/><Relationship Id="rIdSnapshot60" Type="http://schemas.openxmlformats.org/officeDocument/2006/relationships/hyperlink" Target="https://s3.twcstorage.ru/bac33a93-fc8a-445a-b967-41d71601c7a5/yandex-video/2026/10/14/68a880bd3e29eccfd9bc-e88c7e0438c14b7a96f02b6fa9f3f820.html?X-Amz-Algorithm=AWS4-HMAC-SHA256&amp;X-Amz-Credential=SE4EX99Q290D9S7RTH0L%2F20261014%2Fru-1%2Fs3%2Faws4_request&amp;X-Amz-Date=20261014T184149Z&amp;X-Amz-Expires=86400&amp;X-Amz-SignedHeaders=host&amp;X-Amz-Signature=4590f0b88c5b6baa648b40443fe5c8ac4c8c0aef9e91cf3c9839c908b67c76aa" TargetMode="External"/><Relationship Id="rIdSnapshot61" Type="http://schemas.openxmlformats.org/officeDocument/2006/relationships/hyperlink" Target="https://s3.twcstorage.ru/bac33a93-fc8a-445a-b967-41d71601c7a5/yandex-video/2026/10/14/c3535805c6ac523da194-a941843e0c9448239e75a46f102ddef3.html?X-Amz-Algorithm=AWS4-HMAC-SHA256&amp;X-Amz-Credential=SE4EX99Q290D9S7RTH0L%2F20261014%2Fru-1%2Fs3%2Faws4_request&amp;X-Amz-Date=20261014T184053Z&amp;X-Amz-Expires=86400&amp;X-Amz-SignedHeaders=host&amp;X-Amz-Signature=aac3e58d85f48f5957760636bf0a8b78aecb672af4086b198ecbb91ca06be689" TargetMode="External"/><Relationship Id="rIdSnapshot62" Type="http://schemas.openxmlformats.org/officeDocument/2006/relationships/hyperlink" Target="https://s3.twcstorage.ru/bac33a93-fc8a-445a-b967-41d71601c7a5/yandex-video/2026/10/14/92381fc36da35b81cba7-bc82ef87e31a4fd58f96e9ad7e1e2aa3.html?X-Amz-Algorithm=AWS4-HMAC-SHA256&amp;X-Amz-Credential=SE4EX99Q290D9S7RTH0L%2F20261014%2Fru-1%2Fs3%2Faws4_request&amp;X-Amz-Date=20261014T184153Z&amp;X-Amz-Expires=86400&amp;X-Amz-SignedHeaders=host&amp;X-Amz-Signature=36732aacfc030f7c0555e1125ebbce2c393a10650a912587697e150b6976ff51" TargetMode="External"/><Relationship Id="rIdSnapshot63" Type="http://schemas.openxmlformats.org/officeDocument/2006/relationships/hyperlink" Target="https://s3.twcstorage.ru/bac33a93-fc8a-445a-b967-41d71601c7a5/yandex-video/2026/10/14/5d33a1923b87a5a6b2a4-2a0add98749d4dafb1103a82a2ac0214.html?X-Amz-Algorithm=AWS4-HMAC-SHA256&amp;X-Amz-Credential=SE4EX99Q290D9S7RTH0L%2F20261014%2Fru-1%2Fs3%2Faws4_request&amp;X-Amz-Date=20261014T184156Z&amp;X-Amz-Expires=86400&amp;X-Amz-SignedHeaders=host&amp;X-Amz-Signature=c5b35e4710366953e63309f2c4a6ddfb734df5a6e3a19fd397d59153c1735734" TargetMode="External"/><Relationship Id="rIdSnapshot64" Type="http://schemas.openxmlformats.org/officeDocument/2006/relationships/hyperlink" Target="https://s3.twcstorage.ru/bac33a93-fc8a-445a-b967-41d71601c7a5/yandex-video/2026/10/14/41c6827aaf46b5ea8ebb-3e14f800b71d440bbcb1c4ca9514e9d6.html?X-Amz-Algorithm=AWS4-HMAC-SHA256&amp;X-Amz-Credential=SE4EX99Q290D9S7RTH0L%2F20261014%2Fru-1%2Fs3%2Faws4_request&amp;X-Amz-Date=20261014T184101Z&amp;X-Amz-Expires=86400&amp;X-Amz-SignedHeaders=host&amp;X-Amz-Signature=3d16e6fd83db189eae94a597d7cc840a4b4944cb47be968ba1a839de9ab7a317" TargetMode="External"/><Relationship Id="rIdSnapshot65" Type="http://schemas.openxmlformats.org/officeDocument/2006/relationships/hyperlink" Target="https://s3.twcstorage.ru/bac33a93-fc8a-445a-b967-41d71601c7a5/yandex-video/2026/10/14/b7680426e0d3614aa7a1-e6ea75546d4b4f16b9a369f312d5c46e.html?X-Amz-Algorithm=AWS4-HMAC-SHA256&amp;X-Amz-Credential=SE4EX99Q290D9S7RTH0L%2F20261014%2Fru-1%2Fs3%2Faws4_request&amp;X-Amz-Date=20261014T184201Z&amp;X-Amz-Expires=86400&amp;X-Amz-SignedHeaders=host&amp;X-Amz-Signature=11a3744d45146599a124ec4daa99d5b7caa98d7bcab3925c12f0a8ac4828807a" TargetMode="External"/><Relationship Id="rIdSnapshot66" Type="http://schemas.openxmlformats.org/officeDocument/2006/relationships/hyperlink" Target="https://s3.twcstorage.ru/bac33a93-fc8a-445a-b967-41d71601c7a5/yandex-video/2026/10/14/785dcb8ea7b4bdc755c8-afd7a23153d340249cfd0c6af328044a.html?X-Amz-Algorithm=AWS4-HMAC-SHA256&amp;X-Amz-Credential=SE4EX99Q290D9S7RTH0L%2F20261014%2Fru-1%2Fs3%2Faws4_request&amp;X-Amz-Date=20261014T184204Z&amp;X-Amz-Expires=86400&amp;X-Amz-SignedHeaders=host&amp;X-Amz-Signature=0815bdcfae7048ca688cdfd3b796a6b07e4af27906e5fed61d915fae249460ad" TargetMode="External"/><Relationship Id="rIdSnapshot67" Type="http://schemas.openxmlformats.org/officeDocument/2006/relationships/hyperlink" Target="https://s3.twcstorage.ru/bac33a93-fc8a-445a-b967-41d71601c7a5/yandex-video/2026/10/14/4a124d1c4bc634590ae9-63a85702fb6049c8b8d3e097813169c2.html?X-Amz-Algorithm=AWS4-HMAC-SHA256&amp;X-Amz-Credential=SE4EX99Q290D9S7RTH0L%2F20261014%2Fru-1%2Fs3%2Faws4_request&amp;X-Amz-Date=20261014T184109Z&amp;X-Amz-Expires=86400&amp;X-Amz-SignedHeaders=host&amp;X-Amz-Signature=545ff4093f5d9a730129b98ee166e9ae7e359405bf903f01790cc1fc83d19c91" TargetMode="External"/><Relationship Id="rIdSnapshot68" Type="http://schemas.openxmlformats.org/officeDocument/2006/relationships/hyperlink" Target="https://s3.twcstorage.ru/bac33a93-fc8a-445a-b967-41d71601c7a5/yandex-video/2026/10/14/691f537b4c65ffeee3ba-73a2772631424e04a20df451f3a10d5e.html?X-Amz-Algorithm=AWS4-HMAC-SHA256&amp;X-Amz-Credential=SE4EX99Q290D9S7RTH0L%2F20261014%2Fru-1%2Fs3%2Faws4_request&amp;X-Amz-Date=20261014T184211Z&amp;X-Amz-Expires=86400&amp;X-Amz-SignedHeaders=host&amp;X-Amz-Signature=fb9aaa5886edc7e98db8b9551366f03724391c801328178e9941a7562ccdc180" TargetMode="External"/><Relationship Id="rIdSnapshot69" Type="http://schemas.openxmlformats.org/officeDocument/2006/relationships/hyperlink" Target="https://s3.twcstorage.ru/bac33a93-fc8a-445a-b967-41d71601c7a5/yandex-video/2026/10/14/da1f273c9a4487529c42-c7e40768b34c442cb16ed349e49908cf.html?X-Amz-Algorithm=AWS4-HMAC-SHA256&amp;X-Amz-Credential=SE4EX99Q290D9S7RTH0L%2F20261014%2Fru-1%2Fs3%2Faws4_request&amp;X-Amz-Date=20261014T184213Z&amp;X-Amz-Expires=86400&amp;X-Amz-SignedHeaders=host&amp;X-Amz-Signature=9a73c6ce3e0fbe2f0ec4a116ad41df37ea8d5763fe790b0efa28372110439763" TargetMode="External"/><Relationship Id="rIdSnapshot70" Type="http://schemas.openxmlformats.org/officeDocument/2006/relationships/hyperlink" Target="https://s3.twcstorage.ru/bac33a93-fc8a-445a-b967-41d71601c7a5/yandex-video/2026/10/14/c73793652df353dcaff5-c45dbc5d273c479e85dc3c634ecfbea9.html?X-Amz-Algorithm=AWS4-HMAC-SHA256&amp;X-Amz-Credential=SE4EX99Q290D9S7RTH0L%2F20261014%2Fru-1%2Fs3%2Faws4_request&amp;X-Amz-Date=20261014T184116Z&amp;X-Amz-Expires=86400&amp;X-Amz-SignedHeaders=host&amp;X-Amz-Signature=75ac3ae166934a303ac0f643ab7a3dae1084035c234a8cfaa8ee9190118b2d89" TargetMode="External"/><Relationship Id="rIdSnapshot71" Type="http://schemas.openxmlformats.org/officeDocument/2006/relationships/hyperlink" Target="https://s3.twcstorage.ru/bac33a93-fc8a-445a-b967-41d71601c7a5/yandex-video/2026/10/14/6b328c53f1f519ad219f-66d5dca0fd7d40e084bd21f832ccb309.html?X-Amz-Algorithm=AWS4-HMAC-SHA256&amp;X-Amz-Credential=SE4EX99Q290D9S7RTH0L%2F20261014%2Fru-1%2Fs3%2Faws4_request&amp;X-Amz-Date=20261014T184219Z&amp;X-Amz-Expires=86400&amp;X-Amz-SignedHeaders=host&amp;X-Amz-Signature=868cb8744f40d65120bf7a05a2462438ca33275e85b51259710e31337a525fa2" TargetMode="External"/><Relationship Id="rIdSnapshot72" Type="http://schemas.openxmlformats.org/officeDocument/2006/relationships/hyperlink" Target="https://s3.twcstorage.ru/bac33a93-fc8a-445a-b967-41d71601c7a5/yandex-video/2026/10/14/bf50d6fe6fbc0845d552-c1c6f7e9370645c9be93fdb0ac883668.html?X-Amz-Algorithm=AWS4-HMAC-SHA256&amp;X-Amz-Credential=SE4EX99Q290D9S7RTH0L%2F20261014%2Fru-1%2Fs3%2Faws4_request&amp;X-Amz-Date=20261014T184221Z&amp;X-Amz-Expires=86400&amp;X-Amz-SignedHeaders=host&amp;X-Amz-Signature=1408602befdff1eead01b02ad88941bcd159f5837d66014c159adf17d8774665" TargetMode="External"/><Relationship Id="rIdSnapshot73" Type="http://schemas.openxmlformats.org/officeDocument/2006/relationships/hyperlink" Target="https://s3.twcstorage.ru/bac33a93-fc8a-445a-b967-41d71601c7a5/yandex-video/2026/10/14/5aa2aa687715c09b2bcf-2203160c44f04a97955d22866a0645b3.html?X-Amz-Algorithm=AWS4-HMAC-SHA256&amp;X-Amz-Credential=SE4EX99Q290D9S7RTH0L%2F20261014%2Fru-1%2Fs3%2Faws4_request&amp;X-Amz-Date=20261014T184124Z&amp;X-Amz-Expires=86400&amp;X-Amz-SignedHeaders=host&amp;X-Amz-Signature=9b97934f57242351db0dea1a1ce947876dfa7d74cae0a44aba5ef1f48363ef9f" TargetMode="External"/><Relationship Id="rIdSnapshot74" Type="http://schemas.openxmlformats.org/officeDocument/2006/relationships/hyperlink" Target="https://s3.twcstorage.ru/bac33a93-fc8a-445a-b967-41d71601c7a5/yandex-video/2026/10/14/f2f25af23e58b2e06c81-90d6e09807274824a5d8430bca3085fb.html?X-Amz-Algorithm=AWS4-HMAC-SHA256&amp;X-Amz-Credential=SE4EX99Q290D9S7RTH0L%2F20261014%2Fru-1%2Fs3%2Faws4_request&amp;X-Amz-Date=20261014T184227Z&amp;X-Amz-Expires=86400&amp;X-Amz-SignedHeaders=host&amp;X-Amz-Signature=4a5f4d5922728ebb749793645f317043129675516ad01a358af26c8ed6c9b393" TargetMode="External"/><Relationship Id="rIdSnapshot75" Type="http://schemas.openxmlformats.org/officeDocument/2006/relationships/hyperlink" Target="https://s3.twcstorage.ru/bac33a93-fc8a-445a-b967-41d71601c7a5/yandex-video/2026/10/14/d75897a3373c31074f10-d1c7b456de634e56a632dd76a4592c88.html?X-Amz-Algorithm=AWS4-HMAC-SHA256&amp;X-Amz-Credential=SE4EX99Q290D9S7RTH0L%2F20261014%2Fru-1%2Fs3%2Faws4_request&amp;X-Amz-Date=20261014T184230Z&amp;X-Amz-Expires=86400&amp;X-Amz-SignedHeaders=host&amp;X-Amz-Signature=62dc8dda4010650d67b85475d5ece53a6ac7b5a3b7903c9188a16ab305675b4d" TargetMode="External"/><Relationship Id="rIdSnapshot76" Type="http://schemas.openxmlformats.org/officeDocument/2006/relationships/hyperlink" Target="https://s3.twcstorage.ru/bac33a93-fc8a-445a-b967-41d71601c7a5/yandex-video/2026/10/14/548445d27cb85ea6f672-77d3a9dbc15a4ce0a8d6c7ab307cf0d1.html?X-Amz-Algorithm=AWS4-HMAC-SHA256&amp;X-Amz-Credential=SE4EX99Q290D9S7RTH0L%2F20261014%2Fru-1%2Fs3%2Faws4_request&amp;X-Amz-Date=20261014T184131Z&amp;X-Amz-Expires=86400&amp;X-Amz-SignedHeaders=host&amp;X-Amz-Signature=713c2f3c2374cf3a15de72c5886f2966649478e217df41cc04b4403686fec64d" TargetMode="External"/><Relationship Id="rIdSnapshot77" Type="http://schemas.openxmlformats.org/officeDocument/2006/relationships/hyperlink" Target="https://s3.twcstorage.ru/bac33a93-fc8a-445a-b967-41d71601c7a5/yandex-video/2026/10/14/1c1614f79405d32b0a82-f93b0394e9b340558d7279803be1935c.html?X-Amz-Algorithm=AWS4-HMAC-SHA256&amp;X-Amz-Credential=SE4EX99Q290D9S7RTH0L%2F20261014%2Fru-1%2Fs3%2Faws4_request&amp;X-Amz-Date=20261014T184240Z&amp;X-Amz-Expires=86400&amp;X-Amz-SignedHeaders=host&amp;X-Amz-Signature=529b3e9e72c9180824b2d37a1e95e8e3d3ca5847bfb51e631410452a2adf7901" TargetMode="External"/><Relationship Id="rIdSnapshot78" Type="http://schemas.openxmlformats.org/officeDocument/2006/relationships/hyperlink" Target="https://s3.twcstorage.ru/bac33a93-fc8a-445a-b967-41d71601c7a5/yandex-video/2026/10/14/0f068201c0f19ca4a14c-dd6db96f32644ef3b68ace9850dddc53.html?X-Amz-Algorithm=AWS4-HMAC-SHA256&amp;X-Amz-Credential=SE4EX99Q290D9S7RTH0L%2F20261014%2Fru-1%2Fs3%2Faws4_request&amp;X-Amz-Date=20261014T184237Z&amp;X-Amz-Expires=86400&amp;X-Amz-SignedHeaders=host&amp;X-Amz-Signature=a06c31f156144b711ee129f8364eec751d3a23121ffdbf863f0ba3e819413b0a" TargetMode="External"/><Relationship Id="rIdSnapshot79" Type="http://schemas.openxmlformats.org/officeDocument/2006/relationships/hyperlink" Target="https://s3.twcstorage.ru/bac33a93-fc8a-445a-b967-41d71601c7a5/yandex-video/2026/10/14/727906d5230796f0abb0-42a63ba5b5fa4319b6035226eee97215.html?X-Amz-Algorithm=AWS4-HMAC-SHA256&amp;X-Amz-Credential=SE4EX99Q290D9S7RTH0L%2F20261014%2Fru-1%2Fs3%2Faws4_request&amp;X-Amz-Date=20261014T184139Z&amp;X-Amz-Expires=86400&amp;X-Amz-SignedHeaders=host&amp;X-Amz-Signature=d08edbc7d061231254fc6c3d62fb55e8c73d7dd5a0d49cc276bbb6c70e88afac" TargetMode="External"/><Relationship Id="rIdSnapshot80" Type="http://schemas.openxmlformats.org/officeDocument/2006/relationships/hyperlink" Target="https://s3.twcstorage.ru/bac33a93-fc8a-445a-b967-41d71601c7a5/yandex-video/2026/10/14/b6d8e3b48eaa908d4897-cc29394825a2414fa4dce0f303ee7032.html?X-Amz-Algorithm=AWS4-HMAC-SHA256&amp;X-Amz-Credential=SE4EX99Q290D9S7RTH0L%2F20261014%2Fru-1%2Fs3%2Faws4_request&amp;X-Amz-Date=20261014T184248Z&amp;X-Amz-Expires=86400&amp;X-Amz-SignedHeaders=host&amp;X-Amz-Signature=b492d0c903f699e725655c19c9dd74017a4856c71a2c7c87dd6c94012164e771" TargetMode="External"/><Relationship Id="rIdSnapshot81" Type="http://schemas.openxmlformats.org/officeDocument/2006/relationships/hyperlink" Target="https://s3.twcstorage.ru/bac33a93-fc8a-445a-b967-41d71601c7a5/yandex-video/2026/10/14/2a77c8cbf28725a2103b-4dd947a8fceb4e54a282a63773cd030b.html?X-Amz-Algorithm=AWS4-HMAC-SHA256&amp;X-Amz-Credential=SE4EX99Q290D9S7RTH0L%2F20261014%2Fru-1%2Fs3%2Faws4_request&amp;X-Amz-Date=20261014T184245Z&amp;X-Amz-Expires=86400&amp;X-Amz-SignedHeaders=host&amp;X-Amz-Signature=01fc680b94ad507d5d01be2f872b1523ddcee204c992f3b436b4089b5635b270" TargetMode="External"/><Relationship Id="rIdSnapshot82" Type="http://schemas.openxmlformats.org/officeDocument/2006/relationships/hyperlink" Target="https://s3.twcstorage.ru/bac33a93-fc8a-445a-b967-41d71601c7a5/yandex-video/2026/10/14/c533b02ca392c86bc90f-4053d24955ba4098849480c14d81600e.html?X-Amz-Algorithm=AWS4-HMAC-SHA256&amp;X-Amz-Credential=SE4EX99Q290D9S7RTH0L%2F20261014%2Fru-1%2Fs3%2Faws4_request&amp;X-Amz-Date=20261014T184147Z&amp;X-Amz-Expires=86400&amp;X-Amz-SignedHeaders=host&amp;X-Amz-Signature=082247c416a91ac66afcb988a2e199c7dd9e348eb4b8241edaf81b9e62b235a9" TargetMode="External"/><Relationship Id="rIdSnapshot83" Type="http://schemas.openxmlformats.org/officeDocument/2006/relationships/hyperlink" Target="https://s3.twcstorage.ru/bac33a93-fc8a-445a-b967-41d71601c7a5/yandex-video/2026/10/14/d0df23cfd9ba763f9902-8190a86acb1f41559b05bd466ebe0a9c.html?X-Amz-Algorithm=AWS4-HMAC-SHA256&amp;X-Amz-Credential=SE4EX99Q290D9S7RTH0L%2F20261014%2Fru-1%2Fs3%2Faws4_request&amp;X-Amz-Date=20261014T184256Z&amp;X-Amz-Expires=86400&amp;X-Amz-SignedHeaders=host&amp;X-Amz-Signature=b98fe2772a3ea2cba01ec85a9fef9848cdcbf7dad66fb9aa1db747221adeb058" TargetMode="External"/><Relationship Id="rIdSnapshot84" Type="http://schemas.openxmlformats.org/officeDocument/2006/relationships/hyperlink" Target="https://s3.twcstorage.ru/bac33a93-fc8a-445a-b967-41d71601c7a5/yandex-video/2026/10/14/7dd1ef7bd80db1e69cb2-6990cd6f60134353a3309c939b8455d1.html?X-Amz-Algorithm=AWS4-HMAC-SHA256&amp;X-Amz-Credential=SE4EX99Q290D9S7RTH0L%2F20261014%2Fru-1%2Fs3%2Faws4_request&amp;X-Amz-Date=20261014T184254Z&amp;X-Amz-Expires=86400&amp;X-Amz-SignedHeaders=host&amp;X-Amz-Signature=d11094070598c8af7568998e99dff01f08f735f69821672dc0585c57ce493fa9" TargetMode="External"/><Relationship Id="rIdSnapshot85" Type="http://schemas.openxmlformats.org/officeDocument/2006/relationships/hyperlink" Target="https://s3.twcstorage.ru/bac33a93-fc8a-445a-b967-41d71601c7a5/yandex-video/2026/10/14/2dc511b2b27850871e84-00ab42fb687a4bcebc943d05bb3bf2a9.html?X-Amz-Algorithm=AWS4-HMAC-SHA256&amp;X-Amz-Credential=SE4EX99Q290D9S7RTH0L%2F20261014%2Fru-1%2Fs3%2Faws4_request&amp;X-Amz-Date=20261014T184209Z&amp;X-Amz-Expires=86400&amp;X-Amz-SignedHeaders=host&amp;X-Amz-Signature=8864b0804748ea8238446753fc4f093eb362d96e863807924cad1b935e6c4793" TargetMode="External"/><Relationship Id="rIdSnapshot86" Type="http://schemas.openxmlformats.org/officeDocument/2006/relationships/hyperlink" Target="https://s3.twcstorage.ru/bac33a93-fc8a-445a-b967-41d71601c7a5/yandex-video/2026/10/14/bef162656a94f598baab-d558e0cb5d9249f99853e4a97735fde8.html?X-Amz-Algorithm=AWS4-HMAC-SHA256&amp;X-Amz-Credential=SE4EX99Q290D9S7RTH0L%2F20261014%2Fru-1%2Fs3%2Faws4_request&amp;X-Amz-Date=20261014T184304Z&amp;X-Amz-Expires=86400&amp;X-Amz-SignedHeaders=host&amp;X-Amz-Signature=afd8fff190f3a2669228f3309ec1646bb0a8b26040ef48dcd7eac92fb7162e27" TargetMode="External"/><Relationship Id="rIdSnapshot87" Type="http://schemas.openxmlformats.org/officeDocument/2006/relationships/hyperlink" Target="https://s3.twcstorage.ru/bac33a93-fc8a-445a-b967-41d71601c7a5/yandex-video/2026/10/14/c6f272531878f046517a-387bca4ccb5543b392926407bafab2ad.html?X-Amz-Algorithm=AWS4-HMAC-SHA256&amp;X-Amz-Credential=SE4EX99Q290D9S7RTH0L%2F20261014%2Fru-1%2Fs3%2Faws4_request&amp;X-Amz-Date=20261014T184302Z&amp;X-Amz-Expires=86400&amp;X-Amz-SignedHeaders=host&amp;X-Amz-Signature=32e256f74aeb505cfb899953738ab54a2f3323122ddbdb3967e316df3e14aa83" TargetMode="External"/><Relationship Id="rIdSnapshot88" Type="http://schemas.openxmlformats.org/officeDocument/2006/relationships/hyperlink" Target="https://s3.twcstorage.ru/bac33a93-fc8a-445a-b967-41d71601c7a5/yandex-video/2026/10/14/656dea7207c16f243aca-a855beab900e4da296904c33dd11fd9f.html?X-Amz-Algorithm=AWS4-HMAC-SHA256&amp;X-Amz-Credential=SE4EX99Q290D9S7RTH0L%2F20261014%2Fru-1%2Fs3%2Faws4_request&amp;X-Amz-Date=20261014T184217Z&amp;X-Amz-Expires=86400&amp;X-Amz-SignedHeaders=host&amp;X-Amz-Signature=d930ea52ea8e38246161a68a7603477f2c8513baa18dd5cb6997bd89994cedcc" TargetMode="External"/><Relationship Id="rIdSnapshot89" Type="http://schemas.openxmlformats.org/officeDocument/2006/relationships/hyperlink" Target="https://s3.twcstorage.ru/bac33a93-fc8a-445a-b967-41d71601c7a5/yandex-video/2026/10/14/f336b5f598c1758ce570-71a7e64924ae4946b4e312f4e7fcf018.html?X-Amz-Algorithm=AWS4-HMAC-SHA256&amp;X-Amz-Credential=SE4EX99Q290D9S7RTH0L%2F20261014%2Fru-1%2Fs3%2Faws4_request&amp;X-Amz-Date=20261014T184312Z&amp;X-Amz-Expires=86400&amp;X-Amz-SignedHeaders=host&amp;X-Amz-Signature=8e852c14a17b4f0da4de92beb7b3cbf27984c0feb29ad10eb554a389379d2dd9" TargetMode="External"/><Relationship Id="rIdSnapshot90" Type="http://schemas.openxmlformats.org/officeDocument/2006/relationships/hyperlink" Target="https://s3.twcstorage.ru/bac33a93-fc8a-445a-b967-41d71601c7a5/yandex-video/2026/10/14/54bc6f11f4cef42431b8-e37ab08f41084ba58c68ec1b0d3fcf8e.html?X-Amz-Algorithm=AWS4-HMAC-SHA256&amp;X-Amz-Credential=SE4EX99Q290D9S7RTH0L%2F20261014%2Fru-1%2Fs3%2Faws4_request&amp;X-Amz-Date=20261014T184311Z&amp;X-Amz-Expires=86400&amp;X-Amz-SignedHeaders=host&amp;X-Amz-Signature=c670636278123d67f44ca3900e3e68c402052ce07c34d8a64d33605f91b25893" TargetMode="External"/><Relationship Id="rIdSnapshot91" Type="http://schemas.openxmlformats.org/officeDocument/2006/relationships/hyperlink" Target="https://s3.twcstorage.ru/bac33a93-fc8a-445a-b967-41d71601c7a5/yandex-video/2026/10/14/b52c9a76296c7ab42e5c-e823cf5e52b04b43abde69c084c6851b.html?X-Amz-Algorithm=AWS4-HMAC-SHA256&amp;X-Amz-Credential=SE4EX99Q290D9S7RTH0L%2F20261014%2Fru-1%2Fs3%2Faws4_request&amp;X-Amz-Date=20261014T184225Z&amp;X-Amz-Expires=86400&amp;X-Amz-SignedHeaders=host&amp;X-Amz-Signature=bccb3edbea43653b81ddba3c8bee80c093bc9cc97948beb3b255a992030f6aaa" TargetMode="External"/><Relationship Id="rIdSnapshot92" Type="http://schemas.openxmlformats.org/officeDocument/2006/relationships/hyperlink" Target="https://s3.twcstorage.ru/bac33a93-fc8a-445a-b967-41d71601c7a5/yandex-video/2026/10/14/425d1d0e61703fbfe39c-6c56b769f9444e8e9f254658f1bc4a35.html?X-Amz-Algorithm=AWS4-HMAC-SHA256&amp;X-Amz-Credential=SE4EX99Q290D9S7RTH0L%2F20261014%2Fru-1%2Fs3%2Faws4_request&amp;X-Amz-Date=20261014T184323Z&amp;X-Amz-Expires=86400&amp;X-Amz-SignedHeaders=host&amp;X-Amz-Signature=ee98d30c1031854d0a73836abdbdf58dc047cc8d709d8091187450504b8771a6" TargetMode="External"/><Relationship Id="rIdSnapshot93" Type="http://schemas.openxmlformats.org/officeDocument/2006/relationships/hyperlink" Target="https://s3.twcstorage.ru/bac33a93-fc8a-445a-b967-41d71601c7a5/yandex-video/2026/10/14/08d4724af1fcd1675762-5ac2373d842a4f54b14f4494a994f711.html?X-Amz-Algorithm=AWS4-HMAC-SHA256&amp;X-Amz-Credential=SE4EX99Q290D9S7RTH0L%2F20261014%2Fru-1%2Fs3%2Faws4_request&amp;X-Amz-Date=20261014T184322Z&amp;X-Amz-Expires=86400&amp;X-Amz-SignedHeaders=host&amp;X-Amz-Signature=b3b822a4e21d82027284a949f76d80f775ec8be5e495579f7e965a96c24b115d" TargetMode="External"/><Relationship Id="rIdSnapshot94" Type="http://schemas.openxmlformats.org/officeDocument/2006/relationships/hyperlink" Target="https://s3.twcstorage.ru/bac33a93-fc8a-445a-b967-41d71601c7a5/yandex-video/2026/10/14/54bb237ab10596a6104c-bf83717997f94ff3b181d88ca3661c44.html?X-Amz-Algorithm=AWS4-HMAC-SHA256&amp;X-Amz-Credential=SE4EX99Q290D9S7RTH0L%2F20261014%2Fru-1%2Fs3%2Faws4_request&amp;X-Amz-Date=20261014T184234Z&amp;X-Amz-Expires=86400&amp;X-Amz-SignedHeaders=host&amp;X-Amz-Signature=1a6d49e777ff126464e6afa52cba8c2c31f62179bf5c2ba1cc2f438710bf482d" TargetMode="External"/><Relationship Id="rIdSnapshot95" Type="http://schemas.openxmlformats.org/officeDocument/2006/relationships/hyperlink" Target="https://s3.twcstorage.ru/bac33a93-fc8a-445a-b967-41d71601c7a5/yandex-video/2026/10/14/2a98a7b42986011f2ab7-713e736721944c5bb701257c43bc16a5.html?X-Amz-Algorithm=AWS4-HMAC-SHA256&amp;X-Amz-Credential=SE4EX99Q290D9S7RTH0L%2F20261014%2Fru-1%2Fs3%2Faws4_request&amp;X-Amz-Date=20261014T184332Z&amp;X-Amz-Expires=86400&amp;X-Amz-SignedHeaders=host&amp;X-Amz-Signature=7ad08c01ced18aa727221380ff793b0e00d11e8679bc3da241c062de68277ea6" TargetMode="External"/><Relationship Id="rIdSnapshot96" Type="http://schemas.openxmlformats.org/officeDocument/2006/relationships/hyperlink" Target="https://s3.twcstorage.ru/bac33a93-fc8a-445a-b967-41d71601c7a5/yandex-video/2026/10/14/0ccce9bed51dccdc38fe-11277aa3dc5e4d23ae65bb3379c25ae1.html?X-Amz-Algorithm=AWS4-HMAC-SHA256&amp;X-Amz-Credential=SE4EX99Q290D9S7RTH0L%2F20261014%2Fru-1%2Fs3%2Faws4_request&amp;X-Amz-Date=20261014T184330Z&amp;X-Amz-Expires=86400&amp;X-Amz-SignedHeaders=host&amp;X-Amz-Signature=93fcbcc9ff1936cc874ca38b613cd4325f6533a190bbee52982b76e13d427235" TargetMode="External"/><Relationship Id="rIdSnapshot97" Type="http://schemas.openxmlformats.org/officeDocument/2006/relationships/hyperlink" Target="https://s3.twcstorage.ru/bac33a93-fc8a-445a-b967-41d71601c7a5/yandex-video/2026/10/14/d8f90e15e0f8d83ff77e-6aa5717f40d24ba48635ec4993505289.html?X-Amz-Algorithm=AWS4-HMAC-SHA256&amp;X-Amz-Credential=SE4EX99Q290D9S7RTH0L%2F20261014%2Fru-1%2Fs3%2Faws4_request&amp;X-Amz-Date=20261014T184245Z&amp;X-Amz-Expires=86400&amp;X-Amz-SignedHeaders=host&amp;X-Amz-Signature=e0929eddbd3c9f57c778159ecb9fb9b9fc14ef2e21923316b92e54591e80a3ff" TargetMode="External"/><Relationship Id="rIdSnapshot98" Type="http://schemas.openxmlformats.org/officeDocument/2006/relationships/hyperlink" Target="https://s3.twcstorage.ru/bac33a93-fc8a-445a-b967-41d71601c7a5/yandex-video/2026/10/14/6548e475c1ebf0e48c29-07cc017ab542487d8d66c20be458db06.html?X-Amz-Algorithm=AWS4-HMAC-SHA256&amp;X-Amz-Credential=SE4EX99Q290D9S7RTH0L%2F20261014%2Fru-1%2Fs3%2Faws4_request&amp;X-Amz-Date=20261014T184342Z&amp;X-Amz-Expires=86400&amp;X-Amz-SignedHeaders=host&amp;X-Amz-Signature=ee1e29c8012a17623712c27701d709c4b8b5b5301ff36ed4b9c81b309374fc71" TargetMode="External"/><Relationship Id="rIdSnapshot99" Type="http://schemas.openxmlformats.org/officeDocument/2006/relationships/hyperlink" Target="https://s3.twcstorage.ru/bac33a93-fc8a-445a-b967-41d71601c7a5/yandex-video/2026/10/14/0736c5a7f2b8464a98c3-4fd6fa38d03c487794c9f9df87c58470.html?X-Amz-Algorithm=AWS4-HMAC-SHA256&amp;X-Amz-Credential=SE4EX99Q290D9S7RTH0L%2F20261014%2Fru-1%2Fs3%2Faws4_request&amp;X-Amz-Date=20261014T184340Z&amp;X-Amz-Expires=86400&amp;X-Amz-SignedHeaders=host&amp;X-Amz-Signature=49482192eaddc3daffcaae4198be21dd2a7b00fdb486c9345f6a01ac20faa837" TargetMode="External"/><Relationship Id="rIdSnapshot100" Type="http://schemas.openxmlformats.org/officeDocument/2006/relationships/hyperlink" Target="https://s3.twcstorage.ru/bac33a93-fc8a-445a-b967-41d71601c7a5/yandex-video/2026/10/14/8ec38d7edf39704a9c46-80c7492349fe4ce885c09fba6258eb7a.html?X-Amz-Algorithm=AWS4-HMAC-SHA256&amp;X-Amz-Credential=SE4EX99Q290D9S7RTH0L%2F20261014%2Fru-1%2Fs3%2Faws4_request&amp;X-Amz-Date=20261014T184254Z&amp;X-Amz-Expires=86400&amp;X-Amz-SignedHeaders=host&amp;X-Amz-Signature=a332cda9a769cfd439b58270451892819875826862033d875a787e5aba927d36" TargetMode="External"/><Relationship Id="rIdSnapshot101" Type="http://schemas.openxmlformats.org/officeDocument/2006/relationships/hyperlink" Target="https://s3.twcstorage.ru/bac33a93-fc8a-445a-b967-41d71601c7a5/yandex-video/2026/10/14/d878893490495374d517-2036577a61fa45d9a0e6b276a98a355b.html?X-Amz-Algorithm=AWS4-HMAC-SHA256&amp;X-Amz-Credential=SE4EX99Q290D9S7RTH0L%2F20261014%2Fru-1%2Fs3%2Faws4_request&amp;X-Amz-Date=20261014T184350Z&amp;X-Amz-Expires=86400&amp;X-Amz-SignedHeaders=host&amp;X-Amz-Signature=c5db78cc78ac1a36d9891aeda9b78dd399a7db1aea20a91e42ee3e079079b3c9" TargetMode="External"/><Relationship Id="rIdSnapshot102" Type="http://schemas.openxmlformats.org/officeDocument/2006/relationships/hyperlink" Target="https://s3.twcstorage.ru/bac33a93-fc8a-445a-b967-41d71601c7a5/yandex-video/2026/10/14/e5ddb77916cc96032048-26f3b00f532c4b3681ef86676740e232.html?X-Amz-Algorithm=AWS4-HMAC-SHA256&amp;X-Amz-Credential=SE4EX99Q290D9S7RTH0L%2F20261014%2Fru-1%2Fs3%2Faws4_request&amp;X-Amz-Date=20261014T184347Z&amp;X-Amz-Expires=86400&amp;X-Amz-SignedHeaders=host&amp;X-Amz-Signature=64a760c5e138be72da5379304d46a5b52d40c9e23cdf227b56371572b2bc0ea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3"/>
      <c r="C1" s="3"/>
      <c r="D1" s="3"/>
      <c r="E1" s="3"/>
      <c r="F1" s="3"/>
      <c r="G1" s="3"/>
      <c r="H1" s="3"/>
      <c r="I1" s="3"/>
      <c r="J1" s="3"/>
      <c r="K1" s="3"/>
      <c r="L1" s="3"/>
      <c r="M1" s="3"/>
      <c r="N1" s="3"/>
      <c r="O1" s="3"/>
      <c r="P1" s="3"/>
      <c r="Q1" s="3"/>
      <c r="R1" s="3"/>
      <c r="S1" s="3"/>
      <c r="T1" s="3"/>
      <c r="U1" s="3"/>
      <c r="V1" s="3"/>
      <c r="W1" s="3"/>
      <c r="X1" s="3"/>
      <c r="Y1" s="3"/>
      <c r="Z1" s="3"/>
    </row>
    <row r="2">
      <c r="A2" s="20" t="s">
        <v>7</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2" t="s">
        <v>27</v>
      </c>
      <c r="B4" s="3"/>
      <c r="C4" s="3"/>
      <c r="D4" s="3"/>
      <c r="E4" s="3"/>
      <c r="F4" s="3"/>
      <c r="G4" s="3"/>
      <c r="H4" s="3"/>
      <c r="I4" s="3"/>
      <c r="J4" s="3"/>
      <c r="K4" s="3"/>
      <c r="L4" s="3"/>
      <c r="M4" s="3"/>
      <c r="N4" s="3"/>
      <c r="O4" s="3"/>
      <c r="P4" s="3"/>
      <c r="Q4" s="3"/>
      <c r="R4" s="3"/>
      <c r="S4" s="3"/>
      <c r="T4" s="3"/>
      <c r="U4" s="3"/>
      <c r="V4" s="3"/>
      <c r="W4" s="3"/>
      <c r="X4" s="3"/>
      <c r="Y4" s="3"/>
      <c r="Z4" s="3"/>
    </row>
    <row r="5">
      <c r="A5" s="20" t="s">
        <v>32</v>
      </c>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2" t="s">
        <v>44</v>
      </c>
      <c r="B7" s="3"/>
      <c r="C7" s="3"/>
      <c r="D7" s="3"/>
      <c r="E7" s="3"/>
      <c r="F7" s="3"/>
      <c r="G7" s="3"/>
      <c r="H7" s="3"/>
      <c r="I7" s="3"/>
      <c r="J7" s="3"/>
      <c r="K7" s="3"/>
      <c r="L7" s="3"/>
      <c r="M7" s="3"/>
      <c r="N7" s="3"/>
      <c r="O7" s="3"/>
      <c r="P7" s="3"/>
      <c r="Q7" s="3"/>
      <c r="R7" s="3"/>
      <c r="S7" s="3"/>
      <c r="T7" s="3"/>
      <c r="U7" s="3"/>
      <c r="V7" s="3"/>
      <c r="W7" s="3"/>
      <c r="X7" s="3"/>
      <c r="Y7" s="3"/>
      <c r="Z7" s="3"/>
    </row>
    <row r="8">
      <c r="A8" s="20" t="s">
        <v>47</v>
      </c>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2" t="s">
        <v>49</v>
      </c>
      <c r="B10" s="3"/>
      <c r="C10" s="3"/>
      <c r="D10" s="3"/>
      <c r="E10" s="3"/>
      <c r="F10" s="3"/>
      <c r="G10" s="3"/>
      <c r="H10" s="3"/>
      <c r="I10" s="3"/>
      <c r="J10" s="3"/>
      <c r="K10" s="3"/>
      <c r="L10" s="3"/>
      <c r="M10" s="3"/>
      <c r="N10" s="3"/>
      <c r="O10" s="3"/>
      <c r="P10" s="3"/>
      <c r="Q10" s="3"/>
      <c r="R10" s="3"/>
      <c r="S10" s="3"/>
      <c r="T10" s="3"/>
      <c r="U10" s="3"/>
      <c r="V10" s="3"/>
      <c r="W10" s="3"/>
      <c r="X10" s="3"/>
      <c r="Y10" s="3"/>
      <c r="Z10" s="3"/>
    </row>
    <row r="11">
      <c r="A11" s="20" t="s">
        <v>51</v>
      </c>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location="gid=442452222" ref="A2"/>
    <hyperlink r:id="rId2" ref="A5"/>
    <hyperlink r:id="rId3" ref="A8"/>
    <hyperlink r:id="rId4" ref="A1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122.75"/>
  </cols>
  <sheetData>
    <row r="1" ht="22.5" customHeight="1">
      <c r="A1" s="1" t="s">
        <v>0</v>
      </c>
      <c r="B1" s="4"/>
      <c r="C1" s="5"/>
    </row>
    <row r="2" ht="22.5" customHeight="1">
      <c r="A2" s="6" t="s">
        <v>2</v>
      </c>
      <c r="B2" s="7" t="s">
        <v>3</v>
      </c>
      <c r="C2" s="6" t="s">
        <v>4</v>
      </c>
    </row>
    <row r="3" ht="22.5" customHeight="1">
      <c r="A3" s="9" t="s">
        <v>5</v>
      </c>
      <c r="B3" s="14">
        <f>SUM(B4:B6)</f>
        <v>99</v>
      </c>
      <c r="C3" s="9" t="inlineStr">
        <is>
          <t>Число строк с распознанным вердиктом в I: победа Yandex 04.10, победа Yandex 12.10 или ничья. Сумма B4:B6; пустые и другие значения исключены.</t>
        </is>
      </c>
    </row>
    <row r="4" ht="22.5" customHeight="1">
      <c r="A4" s="9" t="s">
        <v>11</v>
      </c>
      <c r="B4" s="14">
        <f>COUNTIF('markup 12.10'!I3:I1000,"Yandex 04.10")</f>
        <v>28</v>
      </c>
      <c r="C4" s="9" t="inlineStr">
        <is>
          <t>Число вердиктов «Yandex 04.10» в I.</t>
        </is>
      </c>
    </row>
    <row r="5" ht="22.5" customHeight="1">
      <c r="A5" s="9" t="s">
        <v>19</v>
      </c>
      <c r="B5" s="14">
        <f>COUNTIF('markup 12.10'!I3:I1000,"Yandex 12.10")</f>
        <v>21</v>
      </c>
      <c r="C5" s="9" t="inlineStr">
        <is>
          <t>Число вердиктов «Yandex 12.10» в I.</t>
        </is>
      </c>
    </row>
    <row r="6" ht="22.5" customHeight="1">
      <c r="A6" s="9" t="s">
        <v>23</v>
      </c>
      <c r="B6" s="14">
        <f>COUNTIF('markup 12.10'!I3:I1000,"Ничья")</f>
        <v>50</v>
      </c>
      <c r="C6" s="9" t="inlineStr">
        <is>
          <t>Число вердиктов «Ничья» в I.</t>
        </is>
      </c>
    </row>
    <row r="7" ht="22.5" customHeight="1">
      <c r="A7" s="9" t="s">
        <v>31</v>
      </c>
      <c r="B7" s="14">
        <f>IF(B3=0,"—",(B4+0.5*B6)/B3)</f>
        <v>0.5353535354</v>
      </c>
      <c r="C7" s="9" t="inlineStr">
        <is>
          <t>(Победы Yandex 04.10 + 0,5 × ничьи) / число распознанных вердиктов I. Шкала 0–1; без вердиктов — «—».</t>
        </is>
      </c>
    </row>
    <row r="8" ht="22.5" customHeight="1">
      <c r="A8" s="9" t="s">
        <v>41</v>
      </c>
      <c r="B8" s="31">
        <f>IF(B3=0,"—",(B5+0.5*B6)/B3)</f>
        <v>0.4646464646</v>
      </c>
      <c r="C8" s="9" t="inlineStr">
        <is>
          <t>(Победы Yandex 12.10 + 0,5 × ничьи) / число распознанных вердиктов I. Шкала 0–1; без вердиктов — «—».</t>
        </is>
      </c>
    </row>
    <row r="9" ht="22.5" customHeight="1">
      <c r="A9" s="9" t="s">
        <v>46</v>
      </c>
      <c r="B9" s="14">
        <f>IFERROR(__xludf.DUMMYFUNCTION("LET(scores,ARRAYFORMULA(IFERROR(VALUE('markup 12.10'!J3:J1000),0)),IFERROR(AVERAGE(FILTER(scores,scores&gt;=1,scores&lt;=5,ARRAYFORMULA(MOD(scores,1)=0))),""—""))"),3.757575757575758)</f>
        <v>3.757575758</v>
      </c>
      <c r="C9" s="9" t="s">
        <v>50</v>
      </c>
    </row>
    <row r="10" ht="22.5" customHeight="1">
      <c r="A10" s="9" t="s">
        <v>52</v>
      </c>
      <c r="B10" s="14">
        <f>IFERROR(__xludf.DUMMYFUNCTION("LET(scores,ARRAYFORMULA(IFERROR(VALUE('markup 12.10'!K3:K1000),0)),IFERROR(AVERAGE(FILTER(scores,scores&gt;=1,scores&lt;=5,ARRAYFORMULA(MOD(scores,1)=0))),""—""))"),3.717171717171717)</f>
        <v>3.717171717</v>
      </c>
      <c r="C10" s="9" t="s">
        <v>55</v>
      </c>
    </row>
    <row r="11" ht="22.5" customHeight="1">
      <c r="A11" s="9" t="s">
        <v>56</v>
      </c>
      <c r="B11" s="14">
        <f t="array" ref="B11">LET(scores,IFERROR(VALUE('markup 12.10'!J3:J1000),0),SUMPRODUCT((scores&gt;=1)*(scores&lt;=5)*MOD(scores,1)=0))</f>
        <v>99</v>
      </c>
      <c r="C11" s="9" t="inlineStr">
        <is>
          <t>Число корректных целых оценок 1–5 в K, включая текстовые числа. Считается независимо от заполненности вердикта I.</t>
        </is>
      </c>
    </row>
    <row r="12" ht="22.5" customHeight="1">
      <c r="A12" s="9" t="s">
        <v>72</v>
      </c>
      <c r="B12" s="14">
        <f t="array" ref="B12">LET(scores,IFERROR(VALUE('markup 12.10'!K3:K1000),0),SUMPRODUCT((scores&gt;=1)*(scores&lt;=5)*MOD(scores,1)=0))</f>
        <v>99</v>
      </c>
      <c r="C12" s="9" t="inlineStr">
        <is>
          <t>Число корректных целых оценок 1–5 в L, включая текстовые числа. Считается независимо от заполненности вердикта I.</t>
        </is>
      </c>
    </row>
    <row r="13" ht="22.5" customHeight="1">
      <c r="A13" s="9" t="s">
        <v>86</v>
      </c>
      <c r="B13" s="14">
        <f>COUNTIF('markup 12.10'!L3:L1000,"Да")</f>
        <v>8</v>
      </c>
      <c r="C13" s="9" t="s">
        <v>88</v>
      </c>
    </row>
    <row r="14" ht="22.5" customHeight="1">
      <c r="A14" s="9" t="s">
        <v>89</v>
      </c>
      <c r="B14" s="14">
        <f>COUNTIF('markup 12.10'!L3:L1000,"Да")+COUNTIF('markup 12.10'!L3:L1000,"Нет")</f>
        <v>99</v>
      </c>
      <c r="C14" s="9" t="s">
        <v>90</v>
      </c>
    </row>
    <row r="15" ht="22.5" customHeight="1">
      <c r="A15" s="9" t="s">
        <v>91</v>
      </c>
      <c r="B15" s="31">
        <f>IF(B14=0,"—",B13/B14)</f>
        <v>0.08080808081</v>
      </c>
      <c r="C15" s="9" t="s">
        <v>93</v>
      </c>
    </row>
    <row r="16">
      <c r="B16" s="37"/>
    </row>
    <row r="17">
      <c r="A17" s="38" t="s">
        <v>97</v>
      </c>
      <c r="B17" s="37"/>
    </row>
    <row r="18">
      <c r="A18" s="39" t="s">
        <v>2</v>
      </c>
      <c r="B18" s="40" t="s">
        <v>3</v>
      </c>
      <c r="C18" s="39" t="s">
        <v>4</v>
      </c>
    </row>
    <row r="19">
      <c r="A19" s="39" t="s">
        <v>99</v>
      </c>
      <c r="B19" s="41">
        <f>SUM(B20:B23)</f>
        <v>99</v>
      </c>
      <c r="C19" s="39" t="inlineStr">
        <is>
          <t>Число ответов из четырёх вариантов в N; пустые и другие значения исключены. Независимо от вердикта I.</t>
        </is>
      </c>
    </row>
    <row r="20">
      <c r="A20" s="39" t="s">
        <v>102</v>
      </c>
      <c r="B20" s="37">
        <f>COUNTIF('markup 12.10'!M3:M1000,"нет")</f>
        <v>45</v>
      </c>
      <c r="C20" s="39" t="s">
        <v>103</v>
      </c>
    </row>
    <row r="21">
      <c r="A21" s="39" t="s">
        <v>104</v>
      </c>
      <c r="B21" s="37">
        <f>COUNTIF('markup 12.10'!M3:M1000,"только 04.10")</f>
        <v>7</v>
      </c>
      <c r="C21" s="39" t="s">
        <v>107</v>
      </c>
    </row>
    <row r="22">
      <c r="A22" s="39" t="s">
        <v>108</v>
      </c>
      <c r="B22" s="37">
        <f>COUNTIF('markup 12.10'!M3:M1000,"только 12.10")</f>
        <v>13</v>
      </c>
      <c r="C22" s="39" t="s">
        <v>109</v>
      </c>
    </row>
    <row r="23">
      <c r="A23" s="39" t="s">
        <v>110</v>
      </c>
      <c r="B23" s="37">
        <f>COUNTIF('markup 12.10'!M3:M1000,"у обоих серпов")</f>
        <v>34</v>
      </c>
      <c r="C23" s="39" t="s">
        <v>111</v>
      </c>
    </row>
    <row r="24">
      <c r="A24" s="39" t="s">
        <v>112</v>
      </c>
      <c r="B24" s="42">
        <f>IF(B19=0,"—",(B21+B23)/B19)</f>
        <v>0.4141414141</v>
      </c>
      <c r="C24" s="39" t="s">
        <v>117</v>
      </c>
    </row>
    <row r="25">
      <c r="A25" s="39" t="s">
        <v>118</v>
      </c>
      <c r="B25" s="42">
        <f>IF(B19=0,"—",(B22+B23)/B19)</f>
        <v>0.4747474747</v>
      </c>
      <c r="C25" s="39" t="s">
        <v>122</v>
      </c>
    </row>
    <row r="26">
      <c r="A26" s="39" t="s">
        <v>123</v>
      </c>
      <c r="B26" s="37">
        <f>IF(B19=0,"—",SUM(B21:B23)/B19)</f>
        <v>0.5454545455</v>
      </c>
      <c r="C26" s="39" t="s">
        <v>126</v>
      </c>
    </row>
    <row r="27">
      <c r="B27" s="37"/>
    </row>
    <row r="28">
      <c r="B28" s="37"/>
    </row>
    <row r="29">
      <c r="B29" s="37"/>
    </row>
    <row r="30">
      <c r="B30" s="37"/>
    </row>
    <row r="31">
      <c r="B31" s="37"/>
    </row>
    <row r="32">
      <c r="B32" s="37"/>
    </row>
    <row r="33">
      <c r="B33" s="37"/>
    </row>
    <row r="34">
      <c r="B34" s="37"/>
    </row>
    <row r="35">
      <c r="B35" s="37"/>
    </row>
    <row r="36">
      <c r="B36" s="37"/>
    </row>
    <row r="37">
      <c r="B37" s="37"/>
    </row>
    <row r="38">
      <c r="B38" s="37"/>
    </row>
    <row r="39">
      <c r="B39" s="37"/>
    </row>
    <row r="40">
      <c r="B40" s="37"/>
    </row>
    <row r="41">
      <c r="B41" s="37"/>
    </row>
    <row r="42">
      <c r="B42" s="37"/>
    </row>
    <row r="43">
      <c r="B43" s="37"/>
    </row>
    <row r="44">
      <c r="B44" s="37"/>
    </row>
    <row r="45">
      <c r="B45" s="37"/>
    </row>
    <row r="46">
      <c r="B46" s="37"/>
    </row>
    <row r="47">
      <c r="B47" s="37"/>
    </row>
    <row r="48">
      <c r="B48" s="37"/>
    </row>
    <row r="49">
      <c r="B49" s="37"/>
    </row>
    <row r="50">
      <c r="B50" s="37"/>
    </row>
    <row r="51">
      <c r="B51" s="37"/>
    </row>
    <row r="52">
      <c r="B52" s="37"/>
    </row>
    <row r="53">
      <c r="B53" s="37"/>
    </row>
    <row r="54">
      <c r="B54" s="37"/>
    </row>
    <row r="55">
      <c r="B55" s="37"/>
    </row>
    <row r="56">
      <c r="B56" s="37"/>
    </row>
    <row r="57">
      <c r="B57" s="37"/>
    </row>
    <row r="58">
      <c r="B58" s="37"/>
    </row>
    <row r="59">
      <c r="B59" s="37"/>
    </row>
    <row r="60">
      <c r="B60" s="37"/>
    </row>
    <row r="61">
      <c r="B61" s="37"/>
    </row>
    <row r="62">
      <c r="B62" s="37"/>
    </row>
    <row r="63">
      <c r="B63" s="37"/>
    </row>
    <row r="64">
      <c r="B64" s="37"/>
    </row>
    <row r="65">
      <c r="B65" s="37"/>
    </row>
    <row r="66">
      <c r="B66" s="37"/>
    </row>
    <row r="67">
      <c r="B67" s="37"/>
    </row>
    <row r="68">
      <c r="B68" s="37"/>
    </row>
    <row r="69">
      <c r="B69" s="37"/>
    </row>
    <row r="70">
      <c r="B70" s="37"/>
    </row>
    <row r="71">
      <c r="B71" s="37"/>
    </row>
    <row r="72">
      <c r="B72" s="3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2.13"/>
    <col customWidth="1" min="2" max="2" width="42"/>
    <col customWidth="1" min="3" max="3" width="14"/>
    <col customWidth="1" min="4" max="4" width="42.13"/>
    <col customWidth="1" min="5" max="5" width="22"/>
    <col min="6" max="6" width="16" customWidth="1"/>
    <col customWidth="1" min="7" max="7" width="16.38"/>
    <col min="8" max="8"/>
    <col customWidth="1" min="9" max="9" width="16.25"/>
    <col min="10" max="10"/>
    <col min="11" max="11"/>
    <col customWidth="1" min="12" max="12" width="14.63"/>
    <col customWidth="1" min="13" max="13" width="14.63"/>
    <col customWidth="1" min="14" max="14" width="71.25"/>
  </cols>
  <sheetData>
    <row r="1" ht="22.5" customHeight="1">
      <c r="A1" s="8"/>
      <c r="B1" s="8" t="s">
        <v>6</v>
      </c>
      <c r="C1" s="10"/>
      <c r="D1" s="11"/>
      <c r="E1" s="11" t="inlineStr">
        <is>
          <t>Прокачка</t>
        </is>
      </c>
      <c r="G1" s="13" t="s">
        <v>9</v>
      </c>
      <c r="H1" s="10"/>
      <c r="I1" s="10"/>
      <c r="J1" s="10"/>
      <c r="K1" s="10"/>
      <c r="L1" s="10"/>
      <c r="M1" s="10"/>
      <c r="N1" s="11"/>
    </row>
    <row r="2" ht="26.25" customHeight="1">
      <c r="A2" s="16" t="s">
        <v>12</v>
      </c>
      <c r="B2" s="16" t="s">
        <v>13</v>
      </c>
      <c r="C2" s="17" t="s">
        <v>14</v>
      </c>
      <c r="D2" s="18" t="s">
        <v>15</v>
      </c>
      <c r="E2" s="21" t="inlineStr">
        <is>
          <t>url</t>
        </is>
      </c>
      <c r="F2" s="17" t="inlineStr">
        <is>
          <t>ок / не ок</t>
        </is>
      </c>
      <c r="G2" s="17" t="s">
        <v>22</v>
      </c>
      <c r="H2" s="17" t="s">
        <v>24</v>
      </c>
      <c r="I2" s="22" t="s">
        <v>25</v>
      </c>
      <c r="J2" s="23" t="s">
        <v>26</v>
      </c>
      <c r="K2" s="23" t="s">
        <v>28</v>
      </c>
      <c r="L2" s="24" t="s">
        <v>29</v>
      </c>
      <c r="M2" s="24" t="s">
        <v>33</v>
      </c>
      <c r="N2" s="25" t="s">
        <v>34</v>
      </c>
    </row>
    <row r="3">
      <c r="A3" s="26" t="s">
        <v>35</v>
      </c>
      <c r="B3" s="27" t="s">
        <v>36</v>
      </c>
      <c r="C3" s="28" t="s">
        <v>37</v>
      </c>
      <c r="D3" s="29" t="s">
        <v>38</v>
      </c>
      <c r="E3" s="32" t="inlineStr">
        <is>
          <t>Открыть HTML</t>
        </is>
      </c>
      <c r="F3" s="29" t="inlineStr">
        <is>
          <t>ок</t>
        </is>
      </c>
      <c r="G3" s="29" t="s">
        <v>48</v>
      </c>
      <c r="H3" s="29" t="s">
        <v>53</v>
      </c>
      <c r="I3" s="29" t="s">
        <v>54</v>
      </c>
      <c r="J3" s="29">
        <v>5.0</v>
      </c>
      <c r="K3" s="29">
        <v>5.0</v>
      </c>
      <c r="L3" s="29" t="s">
        <v>53</v>
      </c>
      <c r="M3" s="29" t="s">
        <v>58</v>
      </c>
      <c r="N3" s="33" t="s">
        <v>59</v>
      </c>
    </row>
    <row r="4">
      <c r="A4" s="26" t="s">
        <v>60</v>
      </c>
      <c r="B4" s="27" t="s">
        <v>61</v>
      </c>
      <c r="C4" s="28" t="s">
        <v>62</v>
      </c>
      <c r="D4" s="29" t="s">
        <v>63</v>
      </c>
      <c r="E4" s="32" t="inlineStr">
        <is>
          <t>Открыть HTML</t>
        </is>
      </c>
      <c r="F4" s="29" t="inlineStr">
        <is>
          <t>ок</t>
        </is>
      </c>
      <c r="G4" s="29" t="s">
        <v>48</v>
      </c>
      <c r="H4" s="29" t="s">
        <v>53</v>
      </c>
      <c r="I4" s="29" t="s">
        <v>54</v>
      </c>
      <c r="J4" s="29">
        <v>1.0</v>
      </c>
      <c r="K4" s="29">
        <v>1.0</v>
      </c>
      <c r="L4" s="29" t="s">
        <v>53</v>
      </c>
      <c r="M4" s="29" t="s">
        <v>58</v>
      </c>
      <c r="N4" s="32" t="s">
        <v>67</v>
      </c>
    </row>
    <row r="5" ht="22.5" customHeight="1">
      <c r="A5" s="26" t="s">
        <v>69</v>
      </c>
      <c r="B5" s="27" t="s">
        <v>70</v>
      </c>
      <c r="C5" s="28" t="s">
        <v>62</v>
      </c>
      <c r="D5" s="29" t="s">
        <v>73</v>
      </c>
      <c r="E5" s="35" t="inlineStr">
        <is>
          <t>Открыть HTML</t>
        </is>
      </c>
      <c r="F5" s="29" t="inlineStr">
        <is>
          <t>ок</t>
        </is>
      </c>
      <c r="G5" s="29" t="s">
        <v>77</v>
      </c>
      <c r="H5" s="29" t="s">
        <v>53</v>
      </c>
      <c r="I5" s="29" t="s">
        <v>54</v>
      </c>
      <c r="J5" s="29">
        <v>4.0</v>
      </c>
      <c r="K5" s="29">
        <v>4.0</v>
      </c>
      <c r="L5" s="29" t="s">
        <v>53</v>
      </c>
      <c r="M5" s="29" t="s">
        <v>78</v>
      </c>
      <c r="N5" s="33" t="s">
        <v>79</v>
      </c>
    </row>
    <row r="6" ht="22.5" customHeight="1">
      <c r="A6" s="26" t="s">
        <v>80</v>
      </c>
      <c r="B6" s="27" t="s">
        <v>81</v>
      </c>
      <c r="C6" s="28" t="s">
        <v>62</v>
      </c>
      <c r="D6" s="29" t="s">
        <v>82</v>
      </c>
      <c r="E6" s="35" t="inlineStr">
        <is>
          <t>Открыть HTML</t>
        </is>
      </c>
      <c r="F6" s="29" t="inlineStr">
        <is>
          <t>ок</t>
        </is>
      </c>
      <c r="G6" s="29" t="s">
        <v>77</v>
      </c>
      <c r="H6" s="29" t="s">
        <v>53</v>
      </c>
      <c r="I6" s="29" t="s">
        <v>54</v>
      </c>
      <c r="J6" s="29">
        <v>5.0</v>
      </c>
      <c r="K6" s="29">
        <v>5.0</v>
      </c>
      <c r="L6" s="29" t="s">
        <v>53</v>
      </c>
      <c r="M6" s="29" t="s">
        <v>58</v>
      </c>
      <c r="N6" s="33" t="s">
        <v>92</v>
      </c>
    </row>
    <row r="7" ht="22.5" customHeight="1">
      <c r="A7" s="26" t="s">
        <v>94</v>
      </c>
      <c r="B7" s="27" t="s">
        <v>95</v>
      </c>
      <c r="C7" s="28" t="s">
        <v>96</v>
      </c>
      <c r="D7" s="29" t="s">
        <v>98</v>
      </c>
      <c r="E7" s="35" t="inlineStr">
        <is>
          <t>Открыть HTML</t>
        </is>
      </c>
      <c r="F7" s="29" t="inlineStr">
        <is>
          <t>ок</t>
        </is>
      </c>
      <c r="G7" s="29" t="s">
        <v>113</v>
      </c>
      <c r="H7" s="29" t="s">
        <v>53</v>
      </c>
      <c r="I7" s="29" t="s">
        <v>114</v>
      </c>
      <c r="J7" s="29">
        <v>3.0</v>
      </c>
      <c r="K7" s="29">
        <v>4.0</v>
      </c>
      <c r="L7" s="29" t="s">
        <v>53</v>
      </c>
      <c r="M7" s="29" t="s">
        <v>115</v>
      </c>
      <c r="N7" s="33" t="s">
        <v>116</v>
      </c>
    </row>
    <row r="8" ht="22.5" customHeight="1">
      <c r="A8" s="26" t="s">
        <v>119</v>
      </c>
      <c r="B8" s="27" t="s">
        <v>120</v>
      </c>
      <c r="C8" s="28" t="s">
        <v>37</v>
      </c>
      <c r="D8" s="29" t="s">
        <v>121</v>
      </c>
      <c r="E8" s="35" t="inlineStr">
        <is>
          <t>Открыть HTML</t>
        </is>
      </c>
      <c r="F8" s="29" t="inlineStr">
        <is>
          <t>ок</t>
        </is>
      </c>
      <c r="G8" s="29" t="s">
        <v>129</v>
      </c>
      <c r="H8" s="29" t="s">
        <v>53</v>
      </c>
      <c r="I8" s="29" t="s">
        <v>54</v>
      </c>
      <c r="J8" s="29">
        <v>3.0</v>
      </c>
      <c r="K8" s="29">
        <v>3.0</v>
      </c>
      <c r="L8" s="29" t="s">
        <v>53</v>
      </c>
      <c r="M8" s="29" t="s">
        <v>115</v>
      </c>
      <c r="N8" s="33" t="s">
        <v>130</v>
      </c>
    </row>
    <row r="9" ht="22.5" customHeight="1">
      <c r="A9" s="26" t="s">
        <v>131</v>
      </c>
      <c r="B9" s="27" t="s">
        <v>132</v>
      </c>
      <c r="C9" s="28" t="s">
        <v>62</v>
      </c>
      <c r="D9" s="29" t="s">
        <v>133</v>
      </c>
      <c r="E9" s="35" t="inlineStr">
        <is>
          <t>Открыть HTML</t>
        </is>
      </c>
      <c r="F9" s="29" t="inlineStr">
        <is>
          <t>ок</t>
        </is>
      </c>
      <c r="G9" s="29" t="s">
        <v>129</v>
      </c>
      <c r="H9" s="29" t="s">
        <v>53</v>
      </c>
      <c r="I9" s="29" t="s">
        <v>114</v>
      </c>
      <c r="J9" s="29">
        <v>3.0</v>
      </c>
      <c r="K9" s="29">
        <v>4.0</v>
      </c>
      <c r="L9" s="29" t="s">
        <v>53</v>
      </c>
      <c r="M9" s="29" t="s">
        <v>138</v>
      </c>
      <c r="N9" s="33" t="s">
        <v>139</v>
      </c>
    </row>
    <row r="10" ht="22.5" customHeight="1">
      <c r="A10" s="26" t="s">
        <v>140</v>
      </c>
      <c r="B10" s="27" t="s">
        <v>141</v>
      </c>
      <c r="C10" s="28" t="s">
        <v>62</v>
      </c>
      <c r="D10" s="29" t="s">
        <v>142</v>
      </c>
      <c r="E10" s="35" t="inlineStr">
        <is>
          <t>Открыть HTML</t>
        </is>
      </c>
      <c r="F10" s="29" t="inlineStr">
        <is>
          <t>ок</t>
        </is>
      </c>
      <c r="G10" s="29" t="s">
        <v>113</v>
      </c>
      <c r="H10" s="29" t="s">
        <v>53</v>
      </c>
      <c r="I10" s="29" t="s">
        <v>54</v>
      </c>
      <c r="J10" s="29">
        <v>2.0</v>
      </c>
      <c r="K10" s="29">
        <v>2.0</v>
      </c>
      <c r="L10" s="29" t="s">
        <v>53</v>
      </c>
      <c r="M10" s="29" t="s">
        <v>115</v>
      </c>
      <c r="N10" s="33" t="s">
        <v>147</v>
      </c>
    </row>
    <row r="11" ht="22.5" customHeight="1">
      <c r="A11" s="26" t="s">
        <v>148</v>
      </c>
      <c r="B11" s="27" t="s">
        <v>149</v>
      </c>
      <c r="C11" s="28" t="s">
        <v>62</v>
      </c>
      <c r="D11" s="29" t="s">
        <v>150</v>
      </c>
      <c r="E11" s="32" t="inlineStr">
        <is>
          <t>Открыть HTML</t>
        </is>
      </c>
      <c r="F11" s="29" t="inlineStr">
        <is>
          <t>ок</t>
        </is>
      </c>
      <c r="G11" s="29" t="s">
        <v>154</v>
      </c>
      <c r="H11" s="29" t="s">
        <v>53</v>
      </c>
      <c r="I11" s="29" t="s">
        <v>54</v>
      </c>
      <c r="J11" s="29">
        <v>5.0</v>
      </c>
      <c r="K11" s="29">
        <v>5.0</v>
      </c>
      <c r="L11" s="29" t="s">
        <v>53</v>
      </c>
      <c r="M11" s="29" t="s">
        <v>58</v>
      </c>
      <c r="N11" s="33" t="s">
        <v>155</v>
      </c>
    </row>
    <row r="12" ht="22.5" customHeight="1">
      <c r="A12" s="26" t="s">
        <v>156</v>
      </c>
      <c r="B12" s="27" t="s">
        <v>157</v>
      </c>
      <c r="C12" s="28" t="s">
        <v>37</v>
      </c>
      <c r="D12" s="29" t="s">
        <v>158</v>
      </c>
      <c r="E12" s="35" t="inlineStr">
        <is>
          <t>Открыть HTML</t>
        </is>
      </c>
      <c r="F12" s="29" t="inlineStr">
        <is>
          <t>ок</t>
        </is>
      </c>
      <c r="G12" s="29" t="s">
        <v>163</v>
      </c>
      <c r="H12" s="29" t="s">
        <v>53</v>
      </c>
      <c r="I12" s="29" t="s">
        <v>54</v>
      </c>
      <c r="J12" s="29">
        <v>1.0</v>
      </c>
      <c r="K12" s="29">
        <v>1.0</v>
      </c>
      <c r="L12" s="29" t="s">
        <v>164</v>
      </c>
      <c r="M12" s="29" t="s">
        <v>58</v>
      </c>
      <c r="N12" s="33" t="s">
        <v>165</v>
      </c>
    </row>
    <row r="13" ht="22.5" customHeight="1">
      <c r="A13" s="26" t="s">
        <v>166</v>
      </c>
      <c r="B13" s="27" t="s">
        <v>167</v>
      </c>
      <c r="C13" s="28" t="s">
        <v>96</v>
      </c>
      <c r="D13" s="29" t="s">
        <v>168</v>
      </c>
      <c r="E13" s="35" t="inlineStr">
        <is>
          <t>Открыть HTML</t>
        </is>
      </c>
      <c r="F13" s="29" t="inlineStr">
        <is>
          <t>ок</t>
        </is>
      </c>
      <c r="G13" s="29" t="s">
        <v>163</v>
      </c>
      <c r="H13" s="29" t="s">
        <v>53</v>
      </c>
      <c r="I13" s="29" t="s">
        <v>54</v>
      </c>
      <c r="J13" s="29">
        <v>3.0</v>
      </c>
      <c r="K13" s="29">
        <v>3.0</v>
      </c>
      <c r="L13" s="29" t="s">
        <v>53</v>
      </c>
      <c r="M13" s="29" t="s">
        <v>138</v>
      </c>
      <c r="N13" s="33" t="s">
        <v>174</v>
      </c>
    </row>
    <row r="14" ht="22.5" customHeight="1">
      <c r="A14" s="26" t="s">
        <v>175</v>
      </c>
      <c r="B14" s="27" t="s">
        <v>176</v>
      </c>
      <c r="C14" s="28" t="s">
        <v>37</v>
      </c>
      <c r="D14" s="29" t="s">
        <v>177</v>
      </c>
      <c r="E14" s="35" t="inlineStr">
        <is>
          <t>Открыть HTML</t>
        </is>
      </c>
      <c r="F14" s="29" t="inlineStr">
        <is>
          <t>ок</t>
        </is>
      </c>
      <c r="G14" s="29" t="s">
        <v>163</v>
      </c>
      <c r="H14" s="29" t="s">
        <v>164</v>
      </c>
      <c r="I14" s="34"/>
      <c r="J14" s="34"/>
      <c r="K14" s="34"/>
      <c r="L14" s="34"/>
      <c r="M14" s="34"/>
      <c r="N14" s="44"/>
    </row>
    <row r="15" ht="22.5" customHeight="1">
      <c r="A15" s="26" t="s">
        <v>181</v>
      </c>
      <c r="B15" s="27" t="s">
        <v>182</v>
      </c>
      <c r="C15" s="28" t="s">
        <v>37</v>
      </c>
      <c r="D15" s="29" t="s">
        <v>183</v>
      </c>
      <c r="E15" s="35" t="inlineStr">
        <is>
          <t>Открыть HTML</t>
        </is>
      </c>
      <c r="F15" s="29" t="inlineStr">
        <is>
          <t>ок</t>
        </is>
      </c>
      <c r="G15" s="29" t="s">
        <v>163</v>
      </c>
      <c r="H15" s="29" t="s">
        <v>53</v>
      </c>
      <c r="I15" s="29" t="s">
        <v>114</v>
      </c>
      <c r="J15" s="29">
        <v>3.0</v>
      </c>
      <c r="K15" s="29">
        <v>5.0</v>
      </c>
      <c r="L15" s="29" t="s">
        <v>53</v>
      </c>
      <c r="M15" s="29" t="s">
        <v>58</v>
      </c>
      <c r="N15" s="33" t="s">
        <v>188</v>
      </c>
    </row>
    <row r="16" ht="22.5" customHeight="1">
      <c r="A16" s="26" t="s">
        <v>189</v>
      </c>
      <c r="B16" s="27" t="s">
        <v>190</v>
      </c>
      <c r="C16" s="28" t="s">
        <v>96</v>
      </c>
      <c r="D16" s="29" t="s">
        <v>191</v>
      </c>
      <c r="E16" s="35" t="inlineStr">
        <is>
          <t>Открыть HTML</t>
        </is>
      </c>
      <c r="F16" s="29" t="inlineStr">
        <is>
          <t>ок</t>
        </is>
      </c>
      <c r="G16" s="29" t="s">
        <v>163</v>
      </c>
      <c r="H16" s="29" t="s">
        <v>53</v>
      </c>
      <c r="I16" s="29" t="s">
        <v>196</v>
      </c>
      <c r="J16" s="29">
        <v>3.0</v>
      </c>
      <c r="K16" s="29">
        <v>3.0</v>
      </c>
      <c r="L16" s="29" t="s">
        <v>53</v>
      </c>
      <c r="M16" s="29" t="s">
        <v>115</v>
      </c>
      <c r="N16" s="33" t="s">
        <v>197</v>
      </c>
    </row>
    <row r="17" ht="22.5" customHeight="1">
      <c r="A17" s="26" t="s">
        <v>198</v>
      </c>
      <c r="B17" s="27" t="s">
        <v>199</v>
      </c>
      <c r="C17" s="28" t="s">
        <v>37</v>
      </c>
      <c r="D17" s="29" t="s">
        <v>200</v>
      </c>
      <c r="E17" s="35" t="inlineStr">
        <is>
          <t>Открыть HTML</t>
        </is>
      </c>
      <c r="F17" s="29" t="inlineStr">
        <is>
          <t>ок</t>
        </is>
      </c>
      <c r="G17" s="29" t="s">
        <v>163</v>
      </c>
      <c r="H17" s="29" t="s">
        <v>53</v>
      </c>
      <c r="I17" s="29" t="s">
        <v>114</v>
      </c>
      <c r="J17" s="29">
        <v>3.0</v>
      </c>
      <c r="K17" s="29">
        <v>4.0</v>
      </c>
      <c r="L17" s="29" t="s">
        <v>53</v>
      </c>
      <c r="M17" s="29" t="s">
        <v>78</v>
      </c>
      <c r="N17" s="33" t="s">
        <v>205</v>
      </c>
    </row>
    <row r="18" ht="22.5" customHeight="1">
      <c r="A18" s="26" t="s">
        <v>206</v>
      </c>
      <c r="B18" s="27" t="s">
        <v>207</v>
      </c>
      <c r="C18" s="28" t="s">
        <v>37</v>
      </c>
      <c r="D18" s="29" t="s">
        <v>208</v>
      </c>
      <c r="E18" s="35" t="inlineStr">
        <is>
          <t>Открыть HTML</t>
        </is>
      </c>
      <c r="F18" s="29" t="inlineStr">
        <is>
          <t>ок</t>
        </is>
      </c>
      <c r="G18" s="29" t="s">
        <v>163</v>
      </c>
      <c r="H18" s="29" t="s">
        <v>53</v>
      </c>
      <c r="I18" s="29" t="s">
        <v>54</v>
      </c>
      <c r="J18" s="29">
        <v>5.0</v>
      </c>
      <c r="K18" s="29">
        <v>5.0</v>
      </c>
      <c r="L18" s="29" t="s">
        <v>53</v>
      </c>
      <c r="M18" s="29" t="s">
        <v>58</v>
      </c>
      <c r="N18" s="33" t="s">
        <v>213</v>
      </c>
    </row>
    <row r="19" ht="22.5" customHeight="1">
      <c r="A19" s="26" t="s">
        <v>214</v>
      </c>
      <c r="B19" s="27" t="s">
        <v>215</v>
      </c>
      <c r="C19" s="28" t="s">
        <v>62</v>
      </c>
      <c r="D19" s="29" t="s">
        <v>216</v>
      </c>
      <c r="E19" s="35" t="inlineStr">
        <is>
          <t>Открыть HTML</t>
        </is>
      </c>
      <c r="F19" s="29" t="inlineStr">
        <is>
          <t>ок</t>
        </is>
      </c>
      <c r="G19" s="29" t="s">
        <v>113</v>
      </c>
      <c r="H19" s="29" t="s">
        <v>53</v>
      </c>
      <c r="I19" s="29" t="s">
        <v>54</v>
      </c>
      <c r="J19" s="29">
        <v>4.0</v>
      </c>
      <c r="K19" s="29">
        <v>4.0</v>
      </c>
      <c r="L19" s="29" t="s">
        <v>53</v>
      </c>
      <c r="M19" s="29" t="s">
        <v>115</v>
      </c>
      <c r="N19" s="33" t="s">
        <v>220</v>
      </c>
    </row>
    <row r="20" ht="22.5" customHeight="1">
      <c r="A20" s="26" t="s">
        <v>221</v>
      </c>
      <c r="B20" s="27" t="s">
        <v>222</v>
      </c>
      <c r="C20" s="28" t="s">
        <v>62</v>
      </c>
      <c r="D20" s="29" t="s">
        <v>223</v>
      </c>
      <c r="E20" s="35" t="inlineStr">
        <is>
          <t>Открыть HTML</t>
        </is>
      </c>
      <c r="F20" s="29" t="inlineStr">
        <is>
          <t>ок</t>
        </is>
      </c>
      <c r="G20" s="29" t="s">
        <v>113</v>
      </c>
      <c r="H20" s="29" t="s">
        <v>53</v>
      </c>
      <c r="I20" s="29" t="s">
        <v>54</v>
      </c>
      <c r="J20" s="29">
        <v>4.0</v>
      </c>
      <c r="K20" s="29">
        <v>4.0</v>
      </c>
      <c r="L20" s="29" t="s">
        <v>53</v>
      </c>
      <c r="M20" s="29" t="s">
        <v>138</v>
      </c>
      <c r="N20" s="33" t="s">
        <v>227</v>
      </c>
    </row>
    <row r="21" ht="22.5" customHeight="1">
      <c r="A21" s="26" t="s">
        <v>228</v>
      </c>
      <c r="B21" s="27" t="s">
        <v>229</v>
      </c>
      <c r="C21" s="28" t="s">
        <v>62</v>
      </c>
      <c r="D21" s="29" t="s">
        <v>230</v>
      </c>
      <c r="E21" s="35" t="inlineStr">
        <is>
          <t>Открыть HTML</t>
        </is>
      </c>
      <c r="F21" s="29" t="inlineStr">
        <is>
          <t>ок</t>
        </is>
      </c>
      <c r="G21" s="29" t="s">
        <v>235</v>
      </c>
      <c r="H21" s="29" t="s">
        <v>53</v>
      </c>
      <c r="I21" s="29" t="s">
        <v>54</v>
      </c>
      <c r="J21" s="29">
        <v>2.0</v>
      </c>
      <c r="K21" s="29">
        <v>2.0</v>
      </c>
      <c r="L21" s="29" t="s">
        <v>53</v>
      </c>
      <c r="M21" s="29" t="s">
        <v>58</v>
      </c>
      <c r="N21" s="33" t="s">
        <v>236</v>
      </c>
    </row>
    <row r="22" ht="22.5" customHeight="1">
      <c r="A22" s="26" t="s">
        <v>237</v>
      </c>
      <c r="B22" s="27" t="s">
        <v>238</v>
      </c>
      <c r="C22" s="28" t="s">
        <v>37</v>
      </c>
      <c r="D22" s="29" t="s">
        <v>239</v>
      </c>
      <c r="E22" s="35" t="inlineStr">
        <is>
          <t>Открыть HTML</t>
        </is>
      </c>
      <c r="F22" s="29" t="inlineStr">
        <is>
          <t>ок</t>
        </is>
      </c>
      <c r="G22" s="29" t="s">
        <v>235</v>
      </c>
      <c r="H22" s="29" t="s">
        <v>53</v>
      </c>
      <c r="I22" s="29" t="s">
        <v>196</v>
      </c>
      <c r="J22" s="29">
        <v>4.0</v>
      </c>
      <c r="K22" s="29">
        <v>4.0</v>
      </c>
      <c r="L22" s="29" t="s">
        <v>53</v>
      </c>
      <c r="M22" s="29" t="s">
        <v>115</v>
      </c>
      <c r="N22" s="33" t="s">
        <v>243</v>
      </c>
    </row>
    <row r="23" ht="22.5" customHeight="1">
      <c r="A23" s="26" t="s">
        <v>244</v>
      </c>
      <c r="B23" s="27" t="s">
        <v>245</v>
      </c>
      <c r="C23" s="28" t="s">
        <v>37</v>
      </c>
      <c r="D23" s="29" t="s">
        <v>246</v>
      </c>
      <c r="E23" s="35" t="inlineStr">
        <is>
          <t>Открыть HTML</t>
        </is>
      </c>
      <c r="F23" s="29" t="inlineStr">
        <is>
          <t>ок</t>
        </is>
      </c>
      <c r="G23" s="29" t="s">
        <v>235</v>
      </c>
      <c r="H23" s="29" t="s">
        <v>53</v>
      </c>
      <c r="I23" s="29" t="s">
        <v>54</v>
      </c>
      <c r="J23" s="29">
        <v>5.0</v>
      </c>
      <c r="K23" s="29">
        <v>5.0</v>
      </c>
      <c r="L23" s="29" t="s">
        <v>53</v>
      </c>
      <c r="M23" s="29" t="s">
        <v>58</v>
      </c>
      <c r="N23" s="33" t="s">
        <v>251</v>
      </c>
    </row>
    <row r="24" ht="22.5" customHeight="1">
      <c r="A24" s="26" t="s">
        <v>252</v>
      </c>
      <c r="B24" s="27" t="s">
        <v>253</v>
      </c>
      <c r="C24" s="28" t="s">
        <v>96</v>
      </c>
      <c r="D24" s="29" t="s">
        <v>254</v>
      </c>
      <c r="E24" s="35" t="inlineStr">
        <is>
          <t>Открыть HTML</t>
        </is>
      </c>
      <c r="F24" s="29" t="inlineStr">
        <is>
          <t>ок</t>
        </is>
      </c>
      <c r="G24" s="29" t="s">
        <v>259</v>
      </c>
      <c r="H24" s="29" t="s">
        <v>53</v>
      </c>
      <c r="I24" s="29" t="s">
        <v>196</v>
      </c>
      <c r="J24" s="29">
        <v>5.0</v>
      </c>
      <c r="K24" s="29">
        <v>4.0</v>
      </c>
      <c r="L24" s="29" t="s">
        <v>53</v>
      </c>
      <c r="M24" s="29" t="s">
        <v>58</v>
      </c>
      <c r="N24" s="33" t="s">
        <v>260</v>
      </c>
    </row>
    <row r="25" ht="22.5" customHeight="1">
      <c r="A25" s="26" t="s">
        <v>261</v>
      </c>
      <c r="B25" s="27" t="s">
        <v>262</v>
      </c>
      <c r="C25" s="28" t="s">
        <v>62</v>
      </c>
      <c r="D25" s="29" t="s">
        <v>263</v>
      </c>
      <c r="E25" s="35" t="inlineStr">
        <is>
          <t>Открыть HTML</t>
        </is>
      </c>
      <c r="F25" s="29" t="inlineStr">
        <is>
          <t>ок</t>
        </is>
      </c>
      <c r="G25" s="29" t="s">
        <v>259</v>
      </c>
      <c r="H25" s="29" t="s">
        <v>53</v>
      </c>
      <c r="I25" s="29" t="s">
        <v>196</v>
      </c>
      <c r="J25" s="29">
        <v>5.0</v>
      </c>
      <c r="K25" s="29">
        <v>3.0</v>
      </c>
      <c r="L25" s="29" t="s">
        <v>53</v>
      </c>
      <c r="M25" s="29" t="s">
        <v>138</v>
      </c>
      <c r="N25" s="33" t="s">
        <v>268</v>
      </c>
    </row>
    <row r="26" ht="22.5" customHeight="1">
      <c r="A26" s="26" t="s">
        <v>269</v>
      </c>
      <c r="B26" s="27" t="s">
        <v>270</v>
      </c>
      <c r="C26" s="28" t="s">
        <v>62</v>
      </c>
      <c r="D26" s="29" t="s">
        <v>271</v>
      </c>
      <c r="E26" s="32" t="inlineStr">
        <is>
          <t>Открыть HTML</t>
        </is>
      </c>
      <c r="F26" s="29" t="inlineStr">
        <is>
          <t>ок</t>
        </is>
      </c>
      <c r="G26" s="45" t="s">
        <v>276</v>
      </c>
      <c r="H26" s="29" t="s">
        <v>53</v>
      </c>
      <c r="I26" s="29" t="s">
        <v>114</v>
      </c>
      <c r="J26" s="29">
        <v>4.0</v>
      </c>
      <c r="K26" s="29">
        <v>5.0</v>
      </c>
      <c r="L26" s="29" t="s">
        <v>53</v>
      </c>
      <c r="M26" s="29" t="s">
        <v>58</v>
      </c>
      <c r="N26" s="33" t="s">
        <v>277</v>
      </c>
    </row>
    <row r="27" ht="22.5" customHeight="1">
      <c r="A27" s="26" t="s">
        <v>278</v>
      </c>
      <c r="B27" s="27" t="s">
        <v>279</v>
      </c>
      <c r="C27" s="28" t="s">
        <v>96</v>
      </c>
      <c r="D27" s="29" t="s">
        <v>280</v>
      </c>
      <c r="E27" s="32" t="inlineStr">
        <is>
          <t>Открыть HTML</t>
        </is>
      </c>
      <c r="F27" s="29" t="inlineStr">
        <is>
          <t>ок</t>
        </is>
      </c>
      <c r="G27" s="29" t="s">
        <v>284</v>
      </c>
      <c r="H27" s="29" t="s">
        <v>53</v>
      </c>
      <c r="I27" s="29" t="s">
        <v>54</v>
      </c>
      <c r="J27" s="29">
        <v>5.0</v>
      </c>
      <c r="K27" s="29">
        <v>5.0</v>
      </c>
      <c r="L27" s="29" t="s">
        <v>53</v>
      </c>
      <c r="M27" s="29" t="s">
        <v>58</v>
      </c>
      <c r="N27" s="33" t="s">
        <v>285</v>
      </c>
    </row>
    <row r="28" ht="22.5" customHeight="1">
      <c r="A28" s="26" t="s">
        <v>286</v>
      </c>
      <c r="B28" s="27" t="s">
        <v>287</v>
      </c>
      <c r="C28" s="28" t="s">
        <v>37</v>
      </c>
      <c r="D28" s="29" t="s">
        <v>288</v>
      </c>
      <c r="E28" s="35" t="inlineStr">
        <is>
          <t>Открыть HTML</t>
        </is>
      </c>
      <c r="F28" s="29" t="inlineStr">
        <is>
          <t>ок</t>
        </is>
      </c>
      <c r="G28" s="29" t="s">
        <v>284</v>
      </c>
      <c r="H28" s="29" t="s">
        <v>53</v>
      </c>
      <c r="I28" s="29" t="s">
        <v>54</v>
      </c>
      <c r="J28" s="29">
        <v>3.0</v>
      </c>
      <c r="K28" s="29">
        <v>3.0</v>
      </c>
      <c r="L28" s="29" t="s">
        <v>53</v>
      </c>
      <c r="M28" s="29" t="s">
        <v>58</v>
      </c>
      <c r="N28" s="33" t="s">
        <v>293</v>
      </c>
    </row>
    <row r="29" ht="22.5" customHeight="1">
      <c r="A29" s="26" t="s">
        <v>294</v>
      </c>
      <c r="B29" s="27" t="s">
        <v>295</v>
      </c>
      <c r="C29" s="28" t="s">
        <v>37</v>
      </c>
      <c r="D29" s="29" t="s">
        <v>296</v>
      </c>
      <c r="E29" s="35" t="inlineStr">
        <is>
          <t>Открыть HTML</t>
        </is>
      </c>
      <c r="F29" s="29" t="inlineStr">
        <is>
          <t>ок</t>
        </is>
      </c>
      <c r="G29" s="29" t="s">
        <v>284</v>
      </c>
      <c r="H29" s="29" t="s">
        <v>53</v>
      </c>
      <c r="I29" s="29" t="s">
        <v>54</v>
      </c>
      <c r="J29" s="29">
        <v>4.0</v>
      </c>
      <c r="K29" s="29">
        <v>4.0</v>
      </c>
      <c r="L29" s="29" t="s">
        <v>53</v>
      </c>
      <c r="M29" s="29" t="s">
        <v>115</v>
      </c>
      <c r="N29" s="33" t="s">
        <v>300</v>
      </c>
    </row>
    <row r="30" ht="22.5" customHeight="1">
      <c r="A30" s="26" t="s">
        <v>301</v>
      </c>
      <c r="B30" s="27" t="s">
        <v>302</v>
      </c>
      <c r="C30" s="28" t="s">
        <v>62</v>
      </c>
      <c r="D30" s="29" t="s">
        <v>303</v>
      </c>
      <c r="E30" s="35" t="inlineStr">
        <is>
          <t>Открыть HTML</t>
        </is>
      </c>
      <c r="F30" s="29" t="inlineStr">
        <is>
          <t>ок</t>
        </is>
      </c>
      <c r="G30" s="29" t="s">
        <v>284</v>
      </c>
      <c r="H30" s="29" t="s">
        <v>53</v>
      </c>
      <c r="I30" s="29" t="s">
        <v>54</v>
      </c>
      <c r="J30" s="29">
        <v>3.0</v>
      </c>
      <c r="K30" s="29">
        <v>3.0</v>
      </c>
      <c r="L30" s="29" t="s">
        <v>53</v>
      </c>
      <c r="M30" s="29" t="s">
        <v>58</v>
      </c>
      <c r="N30" s="33" t="s">
        <v>307</v>
      </c>
    </row>
    <row r="31" ht="22.5" customHeight="1">
      <c r="A31" s="26" t="s">
        <v>308</v>
      </c>
      <c r="B31" s="27" t="s">
        <v>182</v>
      </c>
      <c r="C31" s="28" t="s">
        <v>62</v>
      </c>
      <c r="D31" s="29" t="s">
        <v>309</v>
      </c>
      <c r="E31" s="32" t="inlineStr">
        <is>
          <t>Открыть HTML</t>
        </is>
      </c>
      <c r="F31" s="29" t="inlineStr">
        <is>
          <t>ок</t>
        </is>
      </c>
      <c r="G31" s="29" t="s">
        <v>284</v>
      </c>
      <c r="H31" s="29" t="s">
        <v>53</v>
      </c>
      <c r="I31" s="29" t="s">
        <v>54</v>
      </c>
      <c r="J31" s="29">
        <v>4.0</v>
      </c>
      <c r="K31" s="29">
        <v>4.0</v>
      </c>
      <c r="L31" s="29" t="s">
        <v>53</v>
      </c>
      <c r="M31" s="29" t="s">
        <v>115</v>
      </c>
      <c r="N31" s="33" t="s">
        <v>313</v>
      </c>
    </row>
    <row r="32">
      <c r="A32" s="26" t="s">
        <v>314</v>
      </c>
      <c r="B32" s="27" t="s">
        <v>315</v>
      </c>
      <c r="C32" s="28" t="s">
        <v>37</v>
      </c>
      <c r="D32" s="29" t="s">
        <v>316</v>
      </c>
      <c r="E32" s="35" t="inlineStr">
        <is>
          <t>Открыть HTML</t>
        </is>
      </c>
      <c r="F32" s="29" t="inlineStr">
        <is>
          <t>ок</t>
        </is>
      </c>
      <c r="G32" s="29" t="s">
        <v>48</v>
      </c>
      <c r="H32" s="29" t="s">
        <v>53</v>
      </c>
      <c r="I32" s="29" t="s">
        <v>54</v>
      </c>
      <c r="J32" s="29">
        <v>5.0</v>
      </c>
      <c r="K32" s="29">
        <v>5.0</v>
      </c>
      <c r="L32" s="29" t="s">
        <v>53</v>
      </c>
      <c r="M32" s="29" t="s">
        <v>58</v>
      </c>
      <c r="N32" s="33" t="s">
        <v>320</v>
      </c>
    </row>
    <row r="33">
      <c r="A33" s="26" t="s">
        <v>321</v>
      </c>
      <c r="B33" s="27" t="s">
        <v>322</v>
      </c>
      <c r="C33" s="28" t="s">
        <v>62</v>
      </c>
      <c r="D33" s="29" t="s">
        <v>323</v>
      </c>
      <c r="E33" s="35" t="inlineStr">
        <is>
          <t>Открыть HTML</t>
        </is>
      </c>
      <c r="F33" s="29" t="inlineStr">
        <is>
          <t>ок</t>
        </is>
      </c>
      <c r="G33" s="29" t="s">
        <v>48</v>
      </c>
      <c r="H33" s="29" t="s">
        <v>53</v>
      </c>
      <c r="I33" s="29" t="s">
        <v>196</v>
      </c>
      <c r="J33" s="29">
        <v>5.0</v>
      </c>
      <c r="K33" s="29">
        <v>3.0</v>
      </c>
      <c r="L33" s="29" t="s">
        <v>164</v>
      </c>
      <c r="M33" s="29" t="s">
        <v>138</v>
      </c>
      <c r="N33" s="33" t="s">
        <v>327</v>
      </c>
    </row>
    <row r="34">
      <c r="A34" s="26" t="s">
        <v>328</v>
      </c>
      <c r="B34" s="27" t="s">
        <v>329</v>
      </c>
      <c r="C34" s="28" t="s">
        <v>37</v>
      </c>
      <c r="D34" s="29" t="s">
        <v>330</v>
      </c>
      <c r="E34" s="35" t="inlineStr">
        <is>
          <t>Открыть HTML</t>
        </is>
      </c>
      <c r="F34" s="29" t="inlineStr">
        <is>
          <t>ок</t>
        </is>
      </c>
      <c r="G34" s="29" t="s">
        <v>48</v>
      </c>
      <c r="H34" s="29" t="s">
        <v>53</v>
      </c>
      <c r="I34" s="29" t="s">
        <v>196</v>
      </c>
      <c r="J34" s="29">
        <v>4.0</v>
      </c>
      <c r="K34" s="29">
        <v>2.0</v>
      </c>
      <c r="L34" s="29" t="s">
        <v>164</v>
      </c>
      <c r="M34" s="29" t="s">
        <v>58</v>
      </c>
      <c r="N34" s="33" t="s">
        <v>335</v>
      </c>
    </row>
    <row r="35" ht="22.5" customHeight="1">
      <c r="A35" s="26" t="s">
        <v>336</v>
      </c>
      <c r="B35" s="27" t="s">
        <v>182</v>
      </c>
      <c r="C35" s="28" t="s">
        <v>37</v>
      </c>
      <c r="D35" s="29" t="s">
        <v>337</v>
      </c>
      <c r="E35" s="35" t="inlineStr">
        <is>
          <t>Открыть HTML</t>
        </is>
      </c>
      <c r="F35" s="29" t="inlineStr">
        <is>
          <t>ок</t>
        </is>
      </c>
      <c r="G35" s="29" t="s">
        <v>154</v>
      </c>
      <c r="H35" s="29" t="s">
        <v>53</v>
      </c>
      <c r="I35" s="29" t="s">
        <v>196</v>
      </c>
      <c r="J35" s="29">
        <v>4.0</v>
      </c>
      <c r="K35" s="29">
        <v>3.0</v>
      </c>
      <c r="L35" s="29" t="s">
        <v>164</v>
      </c>
      <c r="M35" s="29" t="s">
        <v>115</v>
      </c>
      <c r="N35" s="33" t="s">
        <v>341</v>
      </c>
    </row>
    <row r="36" ht="22.5" customHeight="1">
      <c r="A36" s="26" t="s">
        <v>342</v>
      </c>
      <c r="B36" s="27" t="s">
        <v>343</v>
      </c>
      <c r="C36" s="28" t="s">
        <v>62</v>
      </c>
      <c r="D36" s="29" t="s">
        <v>344</v>
      </c>
      <c r="E36" s="35" t="inlineStr">
        <is>
          <t>Открыть HTML</t>
        </is>
      </c>
      <c r="F36" s="29" t="inlineStr">
        <is>
          <t>ок</t>
        </is>
      </c>
      <c r="G36" s="29" t="s">
        <v>113</v>
      </c>
      <c r="H36" s="29" t="s">
        <v>53</v>
      </c>
      <c r="I36" s="29" t="s">
        <v>54</v>
      </c>
      <c r="J36" s="29">
        <v>4.0</v>
      </c>
      <c r="K36" s="29">
        <v>4.0</v>
      </c>
      <c r="L36" s="29" t="s">
        <v>53</v>
      </c>
      <c r="M36" s="29" t="s">
        <v>115</v>
      </c>
      <c r="N36" s="33" t="s">
        <v>348</v>
      </c>
    </row>
    <row r="37" ht="22.5" customHeight="1">
      <c r="A37" s="26" t="s">
        <v>349</v>
      </c>
      <c r="B37" s="27" t="s">
        <v>350</v>
      </c>
      <c r="C37" s="28" t="s">
        <v>37</v>
      </c>
      <c r="D37" s="29" t="s">
        <v>351</v>
      </c>
      <c r="E37" s="35" t="inlineStr">
        <is>
          <t>Открыть HTML</t>
        </is>
      </c>
      <c r="F37" s="29" t="inlineStr">
        <is>
          <t>ок</t>
        </is>
      </c>
      <c r="G37" s="29" t="s">
        <v>113</v>
      </c>
      <c r="H37" s="29" t="s">
        <v>53</v>
      </c>
      <c r="I37" s="29" t="s">
        <v>114</v>
      </c>
      <c r="J37" s="29">
        <v>3.0</v>
      </c>
      <c r="K37" s="29">
        <v>4.0</v>
      </c>
      <c r="L37" s="29" t="s">
        <v>53</v>
      </c>
      <c r="M37" s="29" t="s">
        <v>58</v>
      </c>
      <c r="N37" s="33" t="s">
        <v>354</v>
      </c>
    </row>
    <row r="38" ht="22.5" customHeight="1">
      <c r="A38" s="26" t="s">
        <v>355</v>
      </c>
      <c r="B38" s="27" t="s">
        <v>182</v>
      </c>
      <c r="C38" s="28" t="s">
        <v>62</v>
      </c>
      <c r="D38" s="29" t="s">
        <v>356</v>
      </c>
      <c r="E38" s="35" t="inlineStr">
        <is>
          <t>Открыть HTML</t>
        </is>
      </c>
      <c r="F38" s="29" t="inlineStr">
        <is>
          <t>ок</t>
        </is>
      </c>
      <c r="G38" s="29" t="s">
        <v>361</v>
      </c>
      <c r="H38" s="29" t="s">
        <v>53</v>
      </c>
      <c r="I38" s="29" t="s">
        <v>196</v>
      </c>
      <c r="J38" s="29">
        <v>4.0</v>
      </c>
      <c r="K38" s="29">
        <v>3.0</v>
      </c>
      <c r="L38" s="29" t="s">
        <v>53</v>
      </c>
      <c r="M38" s="29" t="s">
        <v>138</v>
      </c>
      <c r="N38" s="33" t="s">
        <v>362</v>
      </c>
    </row>
    <row r="39" ht="22.5" customHeight="1">
      <c r="A39" s="26" t="s">
        <v>363</v>
      </c>
      <c r="B39" s="27" t="s">
        <v>364</v>
      </c>
      <c r="C39" s="28" t="s">
        <v>62</v>
      </c>
      <c r="D39" s="29" t="s">
        <v>365</v>
      </c>
      <c r="E39" s="35" t="inlineStr">
        <is>
          <t>Открыть HTML</t>
        </is>
      </c>
      <c r="F39" s="29" t="inlineStr">
        <is>
          <t>ок</t>
        </is>
      </c>
      <c r="G39" s="29" t="s">
        <v>361</v>
      </c>
      <c r="H39" s="29" t="s">
        <v>53</v>
      </c>
      <c r="I39" s="29" t="s">
        <v>196</v>
      </c>
      <c r="J39" s="29">
        <v>4.0</v>
      </c>
      <c r="K39" s="29">
        <v>3.0</v>
      </c>
      <c r="L39" s="29" t="s">
        <v>53</v>
      </c>
      <c r="M39" s="29" t="s">
        <v>115</v>
      </c>
      <c r="N39" s="33" t="s">
        <v>370</v>
      </c>
    </row>
    <row r="40" ht="22.5" customHeight="1">
      <c r="A40" s="26" t="s">
        <v>371</v>
      </c>
      <c r="B40" s="27" t="s">
        <v>372</v>
      </c>
      <c r="C40" s="28" t="s">
        <v>62</v>
      </c>
      <c r="D40" s="29" t="s">
        <v>373</v>
      </c>
      <c r="E40" s="35" t="inlineStr">
        <is>
          <t>Открыть HTML</t>
        </is>
      </c>
      <c r="F40" s="29" t="inlineStr">
        <is>
          <t>ок</t>
        </is>
      </c>
      <c r="G40" s="29" t="s">
        <v>377</v>
      </c>
      <c r="H40" s="29" t="s">
        <v>53</v>
      </c>
      <c r="I40" s="29" t="s">
        <v>196</v>
      </c>
      <c r="J40" s="29">
        <v>4.0</v>
      </c>
      <c r="K40" s="29">
        <v>3.0</v>
      </c>
      <c r="L40" s="29" t="s">
        <v>53</v>
      </c>
      <c r="M40" s="29" t="s">
        <v>138</v>
      </c>
      <c r="N40" s="33" t="s">
        <v>378</v>
      </c>
    </row>
    <row r="41" ht="22.5" customHeight="1">
      <c r="A41" s="26" t="s">
        <v>379</v>
      </c>
      <c r="B41" s="27" t="s">
        <v>380</v>
      </c>
      <c r="C41" s="28" t="s">
        <v>62</v>
      </c>
      <c r="D41" s="29" t="s">
        <v>381</v>
      </c>
      <c r="E41" s="35" t="inlineStr">
        <is>
          <t>Открыть HTML</t>
        </is>
      </c>
      <c r="F41" s="29" t="inlineStr">
        <is>
          <t>ок</t>
        </is>
      </c>
      <c r="G41" s="29" t="s">
        <v>154</v>
      </c>
      <c r="H41" s="29" t="s">
        <v>53</v>
      </c>
      <c r="I41" s="29" t="s">
        <v>114</v>
      </c>
      <c r="J41" s="29">
        <v>5.0</v>
      </c>
      <c r="K41" s="29">
        <v>5.0</v>
      </c>
      <c r="L41" s="29" t="s">
        <v>53</v>
      </c>
      <c r="M41" s="29" t="s">
        <v>58</v>
      </c>
      <c r="N41" s="33" t="s">
        <v>386</v>
      </c>
    </row>
    <row r="42" ht="22.5" customHeight="1">
      <c r="A42" s="26" t="s">
        <v>387</v>
      </c>
      <c r="B42" s="27" t="s">
        <v>388</v>
      </c>
      <c r="C42" s="28" t="s">
        <v>62</v>
      </c>
      <c r="D42" s="29" t="s">
        <v>389</v>
      </c>
      <c r="E42" s="35" t="inlineStr">
        <is>
          <t>Открыть HTML</t>
        </is>
      </c>
      <c r="F42" s="29" t="inlineStr">
        <is>
          <t>ок</t>
        </is>
      </c>
      <c r="G42" s="29" t="s">
        <v>377</v>
      </c>
      <c r="H42" s="29" t="s">
        <v>53</v>
      </c>
      <c r="I42" s="29" t="s">
        <v>54</v>
      </c>
      <c r="J42" s="29">
        <v>4.0</v>
      </c>
      <c r="K42" s="29">
        <v>4.0</v>
      </c>
      <c r="L42" s="29" t="s">
        <v>53</v>
      </c>
      <c r="M42" s="29" t="s">
        <v>115</v>
      </c>
      <c r="N42" s="33" t="s">
        <v>393</v>
      </c>
    </row>
    <row r="43">
      <c r="A43" s="26" t="s">
        <v>394</v>
      </c>
      <c r="B43" s="27" t="s">
        <v>395</v>
      </c>
      <c r="C43" s="28" t="s">
        <v>62</v>
      </c>
      <c r="D43" s="29" t="s">
        <v>396</v>
      </c>
      <c r="E43" s="35" t="inlineStr">
        <is>
          <t>Открыть HTML</t>
        </is>
      </c>
      <c r="F43" s="29" t="inlineStr">
        <is>
          <t>ок</t>
        </is>
      </c>
      <c r="G43" s="29" t="s">
        <v>48</v>
      </c>
      <c r="H43" s="29" t="s">
        <v>53</v>
      </c>
      <c r="I43" s="29" t="s">
        <v>54</v>
      </c>
      <c r="J43" s="29">
        <v>3.0</v>
      </c>
      <c r="K43" s="29">
        <v>3.0</v>
      </c>
      <c r="L43" s="29" t="s">
        <v>53</v>
      </c>
      <c r="M43" s="29" t="s">
        <v>115</v>
      </c>
      <c r="N43" s="33" t="s">
        <v>400</v>
      </c>
    </row>
    <row r="44" ht="22.5" customHeight="1">
      <c r="A44" s="26" t="s">
        <v>401</v>
      </c>
      <c r="B44" s="27" t="s">
        <v>402</v>
      </c>
      <c r="C44" s="28" t="s">
        <v>37</v>
      </c>
      <c r="D44" s="29" t="s">
        <v>403</v>
      </c>
      <c r="E44" s="35" t="inlineStr">
        <is>
          <t>Открыть HTML</t>
        </is>
      </c>
      <c r="F44" s="29" t="inlineStr">
        <is>
          <t>ок</t>
        </is>
      </c>
      <c r="G44" s="29" t="s">
        <v>113</v>
      </c>
      <c r="H44" s="29" t="s">
        <v>53</v>
      </c>
      <c r="I44" s="29" t="s">
        <v>54</v>
      </c>
      <c r="J44" s="29">
        <v>4.0</v>
      </c>
      <c r="K44" s="29">
        <v>4.0</v>
      </c>
      <c r="L44" s="29" t="s">
        <v>53</v>
      </c>
      <c r="M44" s="29" t="s">
        <v>58</v>
      </c>
      <c r="N44" s="33" t="s">
        <v>407</v>
      </c>
    </row>
    <row r="45" ht="22.5" customHeight="1">
      <c r="A45" s="26" t="s">
        <v>408</v>
      </c>
      <c r="B45" s="27" t="s">
        <v>409</v>
      </c>
      <c r="C45" s="28" t="s">
        <v>37</v>
      </c>
      <c r="D45" s="29" t="s">
        <v>410</v>
      </c>
      <c r="E45" s="35" t="inlineStr">
        <is>
          <t>Открыть HTML</t>
        </is>
      </c>
      <c r="F45" s="29" t="inlineStr">
        <is>
          <t>ок</t>
        </is>
      </c>
      <c r="G45" s="29" t="s">
        <v>113</v>
      </c>
      <c r="H45" s="29" t="s">
        <v>53</v>
      </c>
      <c r="I45" s="29" t="s">
        <v>114</v>
      </c>
      <c r="J45" s="29">
        <v>3.0</v>
      </c>
      <c r="K45" s="29">
        <v>4.0</v>
      </c>
      <c r="L45" s="29" t="s">
        <v>53</v>
      </c>
      <c r="M45" s="29" t="s">
        <v>115</v>
      </c>
      <c r="N45" s="33" t="s">
        <v>414</v>
      </c>
    </row>
    <row r="46" ht="22.5" customHeight="1">
      <c r="A46" s="26" t="s">
        <v>415</v>
      </c>
      <c r="B46" s="27" t="s">
        <v>416</v>
      </c>
      <c r="C46" s="28" t="s">
        <v>37</v>
      </c>
      <c r="D46" s="29" t="s">
        <v>417</v>
      </c>
      <c r="E46" s="35" t="inlineStr">
        <is>
          <t>Открыть HTML</t>
        </is>
      </c>
      <c r="F46" s="29" t="inlineStr">
        <is>
          <t>ок</t>
        </is>
      </c>
      <c r="G46" s="29" t="s">
        <v>129</v>
      </c>
      <c r="H46" s="29" t="s">
        <v>53</v>
      </c>
      <c r="I46" s="29" t="s">
        <v>196</v>
      </c>
      <c r="J46" s="29">
        <v>4.0</v>
      </c>
      <c r="K46" s="29">
        <v>3.0</v>
      </c>
      <c r="L46" s="29" t="s">
        <v>53</v>
      </c>
      <c r="M46" s="29" t="s">
        <v>115</v>
      </c>
      <c r="N46" s="33" t="s">
        <v>421</v>
      </c>
    </row>
    <row r="47" ht="22.5" customHeight="1">
      <c r="A47" s="26" t="s">
        <v>422</v>
      </c>
      <c r="B47" s="27" t="s">
        <v>229</v>
      </c>
      <c r="C47" s="28" t="s">
        <v>62</v>
      </c>
      <c r="D47" s="29" t="s">
        <v>424</v>
      </c>
      <c r="E47" s="35" t="inlineStr">
        <is>
          <t>Открыть HTML</t>
        </is>
      </c>
      <c r="F47" s="29" t="inlineStr">
        <is>
          <t>ок</t>
        </is>
      </c>
      <c r="G47" s="29" t="s">
        <v>129</v>
      </c>
      <c r="H47" s="29" t="s">
        <v>53</v>
      </c>
      <c r="I47" s="29" t="s">
        <v>54</v>
      </c>
      <c r="J47" s="29">
        <v>5.0</v>
      </c>
      <c r="K47" s="29">
        <v>5.0</v>
      </c>
      <c r="L47" s="29" t="s">
        <v>53</v>
      </c>
      <c r="M47" s="29" t="s">
        <v>58</v>
      </c>
      <c r="N47" s="33" t="s">
        <v>428</v>
      </c>
    </row>
    <row r="48" ht="22.5" customHeight="1">
      <c r="A48" s="26" t="s">
        <v>429</v>
      </c>
      <c r="B48" s="27" t="s">
        <v>430</v>
      </c>
      <c r="C48" s="28" t="s">
        <v>37</v>
      </c>
      <c r="D48" s="29" t="s">
        <v>431</v>
      </c>
      <c r="E48" s="35" t="inlineStr">
        <is>
          <t>Открыть HTML</t>
        </is>
      </c>
      <c r="F48" s="29" t="inlineStr">
        <is>
          <t>ок</t>
        </is>
      </c>
      <c r="G48" s="29" t="s">
        <v>235</v>
      </c>
      <c r="H48" s="29" t="s">
        <v>53</v>
      </c>
      <c r="I48" s="29" t="s">
        <v>196</v>
      </c>
      <c r="J48" s="29">
        <v>3.0</v>
      </c>
      <c r="K48" s="29">
        <v>3.0</v>
      </c>
      <c r="L48" s="29" t="s">
        <v>53</v>
      </c>
      <c r="M48" s="29" t="s">
        <v>115</v>
      </c>
      <c r="N48" s="33" t="s">
        <v>436</v>
      </c>
    </row>
    <row r="49" ht="22.5" customHeight="1">
      <c r="A49" s="26" t="s">
        <v>437</v>
      </c>
      <c r="B49" s="27" t="s">
        <v>438</v>
      </c>
      <c r="C49" s="28" t="s">
        <v>62</v>
      </c>
      <c r="D49" s="29" t="s">
        <v>439</v>
      </c>
      <c r="E49" s="35" t="inlineStr">
        <is>
          <t>Открыть HTML</t>
        </is>
      </c>
      <c r="F49" s="29" t="inlineStr">
        <is>
          <t>ок</t>
        </is>
      </c>
      <c r="G49" s="29" t="s">
        <v>235</v>
      </c>
      <c r="H49" s="29" t="s">
        <v>53</v>
      </c>
      <c r="I49" s="29" t="s">
        <v>196</v>
      </c>
      <c r="J49" s="29">
        <v>4.0</v>
      </c>
      <c r="K49" s="29">
        <v>3.0</v>
      </c>
      <c r="L49" s="29" t="s">
        <v>53</v>
      </c>
      <c r="M49" s="29" t="s">
        <v>138</v>
      </c>
      <c r="N49" s="33" t="s">
        <v>443</v>
      </c>
    </row>
    <row r="50" ht="22.5" customHeight="1">
      <c r="A50" s="26" t="s">
        <v>444</v>
      </c>
      <c r="B50" s="27" t="s">
        <v>445</v>
      </c>
      <c r="C50" s="28" t="s">
        <v>37</v>
      </c>
      <c r="D50" s="29" t="s">
        <v>446</v>
      </c>
      <c r="E50" s="35" t="inlineStr">
        <is>
          <t>Открыть HTML</t>
        </is>
      </c>
      <c r="F50" s="29" t="inlineStr">
        <is>
          <t>ок</t>
        </is>
      </c>
      <c r="G50" s="29" t="s">
        <v>154</v>
      </c>
      <c r="H50" s="29" t="s">
        <v>53</v>
      </c>
      <c r="I50" s="29" t="s">
        <v>196</v>
      </c>
      <c r="J50" s="29">
        <v>5.0</v>
      </c>
      <c r="K50" s="29">
        <v>5.0</v>
      </c>
      <c r="L50" s="29" t="s">
        <v>164</v>
      </c>
      <c r="M50" s="29" t="s">
        <v>58</v>
      </c>
      <c r="N50" s="33" t="s">
        <v>451</v>
      </c>
    </row>
    <row r="51" ht="22.5" customHeight="1">
      <c r="A51" s="26" t="s">
        <v>452</v>
      </c>
      <c r="B51" s="27" t="s">
        <v>453</v>
      </c>
      <c r="C51" s="28" t="s">
        <v>37</v>
      </c>
      <c r="D51" s="29" t="s">
        <v>454</v>
      </c>
      <c r="E51" s="35" t="inlineStr">
        <is>
          <t>Открыть HTML</t>
        </is>
      </c>
      <c r="F51" s="29" t="inlineStr">
        <is>
          <t>ок</t>
        </is>
      </c>
      <c r="G51" s="29" t="s">
        <v>163</v>
      </c>
      <c r="H51" s="29" t="s">
        <v>53</v>
      </c>
      <c r="I51" s="29" t="s">
        <v>114</v>
      </c>
      <c r="J51" s="29">
        <v>3.0</v>
      </c>
      <c r="K51" s="29">
        <v>5.0</v>
      </c>
      <c r="L51" s="29" t="s">
        <v>53</v>
      </c>
      <c r="M51" s="29" t="s">
        <v>78</v>
      </c>
      <c r="N51" s="33" t="s">
        <v>458</v>
      </c>
    </row>
    <row r="52" ht="22.5" customHeight="1">
      <c r="A52" s="26" t="s">
        <v>459</v>
      </c>
      <c r="B52" s="27" t="s">
        <v>120</v>
      </c>
      <c r="C52" s="28" t="s">
        <v>62</v>
      </c>
      <c r="D52" s="29" t="s">
        <v>460</v>
      </c>
      <c r="E52" s="35" t="inlineStr">
        <is>
          <t>Открыть HTML</t>
        </is>
      </c>
      <c r="F52" s="29" t="inlineStr">
        <is>
          <t>ок</t>
        </is>
      </c>
      <c r="G52" s="29" t="s">
        <v>163</v>
      </c>
      <c r="H52" s="29" t="s">
        <v>53</v>
      </c>
      <c r="I52" s="29" t="s">
        <v>54</v>
      </c>
      <c r="J52" s="29">
        <v>3.0</v>
      </c>
      <c r="K52" s="29">
        <v>3.0</v>
      </c>
      <c r="L52" s="29" t="s">
        <v>53</v>
      </c>
      <c r="M52" s="29" t="s">
        <v>115</v>
      </c>
      <c r="N52" s="33" t="s">
        <v>465</v>
      </c>
    </row>
    <row r="53" ht="22.5" customHeight="1">
      <c r="A53" s="26" t="s">
        <v>466</v>
      </c>
      <c r="B53" s="27" t="s">
        <v>467</v>
      </c>
      <c r="C53" s="28" t="s">
        <v>96</v>
      </c>
      <c r="D53" s="29" t="s">
        <v>468</v>
      </c>
      <c r="E53" s="35" t="inlineStr">
        <is>
          <t>Открыть HTML</t>
        </is>
      </c>
      <c r="F53" s="29" t="inlineStr">
        <is>
          <t>ок</t>
        </is>
      </c>
      <c r="G53" s="29" t="s">
        <v>163</v>
      </c>
      <c r="H53" s="29" t="s">
        <v>53</v>
      </c>
      <c r="I53" s="29" t="s">
        <v>54</v>
      </c>
      <c r="J53" s="29">
        <v>4.0</v>
      </c>
      <c r="K53" s="29">
        <v>4.0</v>
      </c>
      <c r="L53" s="29" t="s">
        <v>53</v>
      </c>
      <c r="M53" s="29" t="s">
        <v>58</v>
      </c>
      <c r="N53" s="33" t="s">
        <v>473</v>
      </c>
    </row>
    <row r="54" ht="22.5" customHeight="1">
      <c r="A54" s="26" t="s">
        <v>474</v>
      </c>
      <c r="B54" s="27" t="s">
        <v>475</v>
      </c>
      <c r="C54" s="28" t="s">
        <v>37</v>
      </c>
      <c r="D54" s="29" t="s">
        <v>476</v>
      </c>
      <c r="E54" s="35" t="inlineStr">
        <is>
          <t>Открыть HTML</t>
        </is>
      </c>
      <c r="F54" s="29" t="inlineStr">
        <is>
          <t>ок</t>
        </is>
      </c>
      <c r="G54" s="29" t="s">
        <v>163</v>
      </c>
      <c r="H54" s="29" t="s">
        <v>53</v>
      </c>
      <c r="I54" s="29" t="s">
        <v>114</v>
      </c>
      <c r="J54" s="29">
        <v>3.0</v>
      </c>
      <c r="K54" s="29">
        <v>4.0</v>
      </c>
      <c r="L54" s="29" t="s">
        <v>53</v>
      </c>
      <c r="M54" s="29" t="s">
        <v>58</v>
      </c>
      <c r="N54" s="33" t="s">
        <v>480</v>
      </c>
    </row>
    <row r="55" ht="22.5" customHeight="1">
      <c r="A55" s="26" t="s">
        <v>481</v>
      </c>
      <c r="B55" s="27" t="s">
        <v>482</v>
      </c>
      <c r="C55" s="28" t="s">
        <v>37</v>
      </c>
      <c r="D55" s="29" t="s">
        <v>483</v>
      </c>
      <c r="E55" s="35" t="inlineStr">
        <is>
          <t>Открыть HTML</t>
        </is>
      </c>
      <c r="F55" s="29" t="inlineStr">
        <is>
          <t>ок</t>
        </is>
      </c>
      <c r="G55" s="29" t="s">
        <v>163</v>
      </c>
      <c r="H55" s="29" t="s">
        <v>53</v>
      </c>
      <c r="I55" s="29" t="s">
        <v>196</v>
      </c>
      <c r="J55" s="29">
        <v>3.0</v>
      </c>
      <c r="K55" s="29">
        <v>3.0</v>
      </c>
      <c r="L55" s="29" t="s">
        <v>53</v>
      </c>
      <c r="M55" s="29" t="s">
        <v>138</v>
      </c>
      <c r="N55" s="33" t="s">
        <v>487</v>
      </c>
    </row>
    <row r="56" ht="22.5" customHeight="1">
      <c r="A56" s="26" t="s">
        <v>488</v>
      </c>
      <c r="B56" s="27" t="s">
        <v>489</v>
      </c>
      <c r="C56" s="28" t="s">
        <v>62</v>
      </c>
      <c r="D56" s="29" t="s">
        <v>490</v>
      </c>
      <c r="E56" s="35" t="inlineStr">
        <is>
          <t>Открыть HTML</t>
        </is>
      </c>
      <c r="F56" s="29" t="inlineStr">
        <is>
          <t>ок</t>
        </is>
      </c>
      <c r="G56" s="29" t="s">
        <v>163</v>
      </c>
      <c r="H56" s="29" t="s">
        <v>53</v>
      </c>
      <c r="I56" s="29" t="s">
        <v>114</v>
      </c>
      <c r="J56" s="29">
        <v>3.0</v>
      </c>
      <c r="K56" s="29">
        <v>4.0</v>
      </c>
      <c r="L56" s="29" t="s">
        <v>53</v>
      </c>
      <c r="M56" s="29" t="s">
        <v>115</v>
      </c>
      <c r="N56" s="33" t="s">
        <v>494</v>
      </c>
    </row>
    <row r="57" ht="22.5" customHeight="1">
      <c r="A57" s="26" t="s">
        <v>495</v>
      </c>
      <c r="B57" s="27" t="s">
        <v>329</v>
      </c>
      <c r="C57" s="28" t="s">
        <v>37</v>
      </c>
      <c r="D57" s="29" t="s">
        <v>496</v>
      </c>
      <c r="E57" s="35" t="inlineStr">
        <is>
          <t>Открыть HTML</t>
        </is>
      </c>
      <c r="F57" s="29" t="inlineStr">
        <is>
          <t>ок</t>
        </is>
      </c>
      <c r="G57" s="29" t="s">
        <v>259</v>
      </c>
      <c r="H57" s="29" t="s">
        <v>53</v>
      </c>
      <c r="I57" s="29" t="s">
        <v>196</v>
      </c>
      <c r="J57" s="29">
        <v>4.0</v>
      </c>
      <c r="K57" s="29">
        <v>3.0</v>
      </c>
      <c r="L57" s="29" t="s">
        <v>53</v>
      </c>
      <c r="M57" s="29" t="s">
        <v>58</v>
      </c>
      <c r="N57" s="33" t="s">
        <v>500</v>
      </c>
    </row>
    <row r="58" ht="22.5" customHeight="1">
      <c r="A58" s="26" t="s">
        <v>501</v>
      </c>
      <c r="B58" s="27" t="s">
        <v>502</v>
      </c>
      <c r="C58" s="28" t="s">
        <v>62</v>
      </c>
      <c r="D58" s="29" t="s">
        <v>503</v>
      </c>
      <c r="E58" s="35" t="inlineStr">
        <is>
          <t>Открыть HTML</t>
        </is>
      </c>
      <c r="F58" s="29" t="inlineStr">
        <is>
          <t>ок</t>
        </is>
      </c>
      <c r="G58" s="29" t="s">
        <v>154</v>
      </c>
      <c r="H58" s="29" t="s">
        <v>53</v>
      </c>
      <c r="I58" s="29" t="s">
        <v>114</v>
      </c>
      <c r="J58" s="29">
        <v>4.0</v>
      </c>
      <c r="K58" s="29">
        <v>5.0</v>
      </c>
      <c r="L58" s="29" t="s">
        <v>53</v>
      </c>
      <c r="M58" s="29" t="s">
        <v>58</v>
      </c>
      <c r="N58" s="33" t="s">
        <v>508</v>
      </c>
    </row>
    <row r="59" ht="22.5" customHeight="1">
      <c r="A59" s="26" t="s">
        <v>509</v>
      </c>
      <c r="B59" s="27" t="s">
        <v>182</v>
      </c>
      <c r="C59" s="28" t="s">
        <v>96</v>
      </c>
      <c r="D59" s="29" t="s">
        <v>510</v>
      </c>
      <c r="E59" s="35" t="inlineStr">
        <is>
          <t>Открыть HTML</t>
        </is>
      </c>
      <c r="F59" s="29" t="inlineStr">
        <is>
          <t>ок</t>
        </is>
      </c>
      <c r="G59" s="29" t="s">
        <v>154</v>
      </c>
      <c r="H59" s="29" t="s">
        <v>53</v>
      </c>
      <c r="I59" s="29" t="s">
        <v>54</v>
      </c>
      <c r="J59" s="29">
        <v>1.0</v>
      </c>
      <c r="K59" s="29">
        <v>1.0</v>
      </c>
      <c r="L59" s="29" t="s">
        <v>53</v>
      </c>
      <c r="M59" s="29" t="s">
        <v>58</v>
      </c>
      <c r="N59" s="33" t="s">
        <v>514</v>
      </c>
    </row>
    <row r="60" ht="22.5" customHeight="1">
      <c r="A60" s="26" t="s">
        <v>515</v>
      </c>
      <c r="B60" s="27" t="s">
        <v>516</v>
      </c>
      <c r="C60" s="28" t="s">
        <v>62</v>
      </c>
      <c r="D60" s="29" t="s">
        <v>517</v>
      </c>
      <c r="E60" s="35" t="inlineStr">
        <is>
          <t>Открыть HTML</t>
        </is>
      </c>
      <c r="F60" s="29" t="inlineStr">
        <is>
          <t>ок</t>
        </is>
      </c>
      <c r="G60" s="29" t="s">
        <v>129</v>
      </c>
      <c r="H60" s="29" t="s">
        <v>53</v>
      </c>
      <c r="I60" s="29" t="s">
        <v>54</v>
      </c>
      <c r="J60" s="29">
        <v>4.0</v>
      </c>
      <c r="K60" s="29">
        <v>4.0</v>
      </c>
      <c r="L60" s="29" t="s">
        <v>53</v>
      </c>
      <c r="M60" s="29" t="s">
        <v>115</v>
      </c>
      <c r="N60" s="33" t="s">
        <v>521</v>
      </c>
    </row>
    <row r="61" ht="22.5" customHeight="1">
      <c r="A61" s="26" t="s">
        <v>522</v>
      </c>
      <c r="B61" s="27" t="s">
        <v>523</v>
      </c>
      <c r="C61" s="28" t="s">
        <v>62</v>
      </c>
      <c r="D61" s="29" t="s">
        <v>524</v>
      </c>
      <c r="E61" s="35" t="inlineStr">
        <is>
          <t>Открыть HTML</t>
        </is>
      </c>
      <c r="F61" s="29" t="inlineStr">
        <is>
          <t>ок</t>
        </is>
      </c>
      <c r="G61" s="29" t="s">
        <v>129</v>
      </c>
      <c r="H61" s="29" t="s">
        <v>53</v>
      </c>
      <c r="I61" s="29" t="s">
        <v>54</v>
      </c>
      <c r="J61" s="29">
        <v>4.0</v>
      </c>
      <c r="K61" s="29">
        <v>4.0</v>
      </c>
      <c r="L61" s="29" t="s">
        <v>53</v>
      </c>
      <c r="M61" s="29" t="s">
        <v>115</v>
      </c>
      <c r="N61" s="33" t="s">
        <v>528</v>
      </c>
    </row>
    <row r="62" ht="22.5" customHeight="1">
      <c r="A62" s="26" t="s">
        <v>529</v>
      </c>
      <c r="B62" s="27" t="s">
        <v>530</v>
      </c>
      <c r="C62" s="28" t="s">
        <v>62</v>
      </c>
      <c r="D62" s="29" t="s">
        <v>531</v>
      </c>
      <c r="E62" s="35" t="inlineStr">
        <is>
          <t>Открыть HTML</t>
        </is>
      </c>
      <c r="F62" s="29" t="inlineStr">
        <is>
          <t>ок</t>
        </is>
      </c>
      <c r="G62" s="29" t="s">
        <v>129</v>
      </c>
      <c r="H62" s="29" t="s">
        <v>53</v>
      </c>
      <c r="I62" s="29" t="s">
        <v>54</v>
      </c>
      <c r="J62" s="29">
        <v>5.0</v>
      </c>
      <c r="K62" s="29">
        <v>5.0</v>
      </c>
      <c r="L62" s="29" t="s">
        <v>53</v>
      </c>
      <c r="M62" s="29" t="s">
        <v>58</v>
      </c>
      <c r="N62" s="33" t="s">
        <v>536</v>
      </c>
    </row>
    <row r="63" ht="22.5" customHeight="1">
      <c r="A63" s="26" t="s">
        <v>537</v>
      </c>
      <c r="B63" s="27" t="s">
        <v>538</v>
      </c>
      <c r="C63" s="28" t="s">
        <v>62</v>
      </c>
      <c r="D63" s="29" t="s">
        <v>539</v>
      </c>
      <c r="E63" s="35" t="inlineStr">
        <is>
          <t>Открыть HTML</t>
        </is>
      </c>
      <c r="F63" s="29" t="inlineStr">
        <is>
          <t>ок</t>
        </is>
      </c>
      <c r="G63" s="29" t="s">
        <v>113</v>
      </c>
      <c r="H63" s="29" t="s">
        <v>53</v>
      </c>
      <c r="I63" s="29" t="s">
        <v>54</v>
      </c>
      <c r="J63" s="29">
        <v>4.0</v>
      </c>
      <c r="K63" s="29">
        <v>4.0</v>
      </c>
      <c r="L63" s="29" t="s">
        <v>53</v>
      </c>
      <c r="M63" s="29" t="s">
        <v>58</v>
      </c>
      <c r="N63" s="33" t="s">
        <v>543</v>
      </c>
    </row>
    <row r="64" ht="22.5" customHeight="1">
      <c r="A64" s="26" t="s">
        <v>544</v>
      </c>
      <c r="B64" s="27" t="s">
        <v>545</v>
      </c>
      <c r="C64" s="28" t="s">
        <v>62</v>
      </c>
      <c r="D64" s="29" t="s">
        <v>547</v>
      </c>
      <c r="E64" s="35" t="inlineStr">
        <is>
          <t>Открыть HTML</t>
        </is>
      </c>
      <c r="F64" s="29" t="inlineStr">
        <is>
          <t>ок</t>
        </is>
      </c>
      <c r="G64" s="29" t="s">
        <v>113</v>
      </c>
      <c r="H64" s="29" t="s">
        <v>53</v>
      </c>
      <c r="I64" s="29" t="s">
        <v>196</v>
      </c>
      <c r="J64" s="29">
        <v>4.0</v>
      </c>
      <c r="K64" s="29">
        <v>3.0</v>
      </c>
      <c r="L64" s="29" t="s">
        <v>53</v>
      </c>
      <c r="M64" s="29" t="s">
        <v>115</v>
      </c>
      <c r="N64" s="33" t="s">
        <v>551</v>
      </c>
    </row>
    <row r="65" ht="22.5" customHeight="1">
      <c r="A65" s="26" t="s">
        <v>552</v>
      </c>
      <c r="B65" s="27" t="s">
        <v>553</v>
      </c>
      <c r="C65" s="28" t="s">
        <v>37</v>
      </c>
      <c r="D65" s="29" t="s">
        <v>555</v>
      </c>
      <c r="E65" s="35" t="inlineStr">
        <is>
          <t>Открыть HTML</t>
        </is>
      </c>
      <c r="F65" s="29" t="inlineStr">
        <is>
          <t>ок</t>
        </is>
      </c>
      <c r="G65" s="29" t="s">
        <v>113</v>
      </c>
      <c r="H65" s="29" t="s">
        <v>53</v>
      </c>
      <c r="I65" s="29" t="s">
        <v>54</v>
      </c>
      <c r="J65" s="29">
        <v>2.0</v>
      </c>
      <c r="K65" s="29">
        <v>2.0</v>
      </c>
      <c r="L65" s="29" t="s">
        <v>53</v>
      </c>
      <c r="M65" s="29" t="s">
        <v>58</v>
      </c>
      <c r="N65" s="33" t="s">
        <v>559</v>
      </c>
    </row>
    <row r="66" ht="22.5" customHeight="1">
      <c r="A66" s="26" t="s">
        <v>560</v>
      </c>
      <c r="B66" s="27" t="s">
        <v>182</v>
      </c>
      <c r="C66" s="28" t="s">
        <v>62</v>
      </c>
      <c r="D66" s="29" t="s">
        <v>561</v>
      </c>
      <c r="E66" s="35" t="inlineStr">
        <is>
          <t>Открыть HTML</t>
        </is>
      </c>
      <c r="F66" s="29" t="inlineStr">
        <is>
          <t>ок</t>
        </is>
      </c>
      <c r="G66" s="29" t="s">
        <v>77</v>
      </c>
      <c r="H66" s="29" t="s">
        <v>53</v>
      </c>
      <c r="I66" s="29" t="s">
        <v>196</v>
      </c>
      <c r="J66" s="29">
        <v>4.0</v>
      </c>
      <c r="K66" s="29">
        <v>4.0</v>
      </c>
      <c r="L66" s="29" t="s">
        <v>53</v>
      </c>
      <c r="M66" s="29" t="s">
        <v>78</v>
      </c>
      <c r="N66" s="33" t="s">
        <v>565</v>
      </c>
    </row>
    <row r="67" ht="22.5" customHeight="1">
      <c r="A67" s="26" t="s">
        <v>566</v>
      </c>
      <c r="B67" s="27" t="s">
        <v>567</v>
      </c>
      <c r="C67" s="28" t="s">
        <v>37</v>
      </c>
      <c r="D67" s="29" t="s">
        <v>568</v>
      </c>
      <c r="E67" s="35" t="inlineStr">
        <is>
          <t>Открыть HTML</t>
        </is>
      </c>
      <c r="F67" s="29" t="inlineStr">
        <is>
          <t>ок</t>
        </is>
      </c>
      <c r="G67" s="29" t="s">
        <v>154</v>
      </c>
      <c r="H67" s="29" t="s">
        <v>53</v>
      </c>
      <c r="I67" s="29" t="s">
        <v>54</v>
      </c>
      <c r="J67" s="29">
        <v>4.0</v>
      </c>
      <c r="K67" s="29">
        <v>4.0</v>
      </c>
      <c r="L67" s="29" t="s">
        <v>53</v>
      </c>
      <c r="M67" s="29" t="s">
        <v>58</v>
      </c>
      <c r="N67" s="44"/>
    </row>
    <row r="68" ht="22.5" customHeight="1">
      <c r="A68" s="26" t="s">
        <v>572</v>
      </c>
      <c r="B68" s="27" t="s">
        <v>295</v>
      </c>
      <c r="C68" s="28" t="s">
        <v>62</v>
      </c>
      <c r="D68" s="29" t="s">
        <v>573</v>
      </c>
      <c r="E68" s="35" t="inlineStr">
        <is>
          <t>Открыть HTML</t>
        </is>
      </c>
      <c r="F68" s="29" t="inlineStr">
        <is>
          <t>ок</t>
        </is>
      </c>
      <c r="G68" s="29" t="s">
        <v>163</v>
      </c>
      <c r="H68" s="29" t="s">
        <v>53</v>
      </c>
      <c r="I68" s="29" t="s">
        <v>54</v>
      </c>
      <c r="J68" s="29">
        <v>4.0</v>
      </c>
      <c r="K68" s="29">
        <v>4.0</v>
      </c>
      <c r="L68" s="29" t="s">
        <v>53</v>
      </c>
      <c r="M68" s="29" t="s">
        <v>58</v>
      </c>
      <c r="N68" s="33" t="s">
        <v>577</v>
      </c>
    </row>
    <row r="69" ht="22.5" customHeight="1">
      <c r="A69" s="26" t="s">
        <v>578</v>
      </c>
      <c r="B69" s="27" t="s">
        <v>579</v>
      </c>
      <c r="C69" s="28" t="s">
        <v>96</v>
      </c>
      <c r="D69" s="29" t="s">
        <v>580</v>
      </c>
      <c r="E69" s="35" t="inlineStr">
        <is>
          <t>Открыть HTML</t>
        </is>
      </c>
      <c r="F69" s="29" t="inlineStr">
        <is>
          <t>ок</t>
        </is>
      </c>
      <c r="G69" s="29" t="s">
        <v>163</v>
      </c>
      <c r="H69" s="29" t="s">
        <v>53</v>
      </c>
      <c r="I69" s="29" t="s">
        <v>54</v>
      </c>
      <c r="J69" s="29">
        <v>5.0</v>
      </c>
      <c r="K69" s="29">
        <v>5.0</v>
      </c>
      <c r="L69" s="29" t="s">
        <v>53</v>
      </c>
      <c r="M69" s="29" t="s">
        <v>58</v>
      </c>
      <c r="N69" s="33" t="s">
        <v>585</v>
      </c>
    </row>
    <row r="70" ht="22.5" customHeight="1">
      <c r="A70" s="26" t="s">
        <v>586</v>
      </c>
      <c r="B70" s="27" t="s">
        <v>182</v>
      </c>
      <c r="C70" s="28" t="s">
        <v>62</v>
      </c>
      <c r="D70" s="29" t="s">
        <v>587</v>
      </c>
      <c r="E70" s="35" t="inlineStr">
        <is>
          <t>Открыть HTML</t>
        </is>
      </c>
      <c r="F70" s="29" t="inlineStr">
        <is>
          <t>ок</t>
        </is>
      </c>
      <c r="G70" s="29" t="s">
        <v>276</v>
      </c>
      <c r="H70" s="29" t="s">
        <v>53</v>
      </c>
      <c r="I70" s="29" t="s">
        <v>114</v>
      </c>
      <c r="J70" s="29">
        <v>3.0</v>
      </c>
      <c r="K70" s="29">
        <v>4.0</v>
      </c>
      <c r="L70" s="29" t="s">
        <v>53</v>
      </c>
      <c r="M70" s="29" t="s">
        <v>78</v>
      </c>
      <c r="N70" s="33" t="s">
        <v>591</v>
      </c>
    </row>
    <row r="71" ht="22.5" customHeight="1">
      <c r="A71" s="26" t="s">
        <v>592</v>
      </c>
      <c r="B71" s="27" t="s">
        <v>593</v>
      </c>
      <c r="C71" s="28" t="s">
        <v>62</v>
      </c>
      <c r="D71" s="29" t="s">
        <v>594</v>
      </c>
      <c r="E71" s="35" t="inlineStr">
        <is>
          <t>Открыть HTML</t>
        </is>
      </c>
      <c r="F71" s="29" t="inlineStr">
        <is>
          <t>ок</t>
        </is>
      </c>
      <c r="G71" s="29" t="s">
        <v>77</v>
      </c>
      <c r="H71" s="29" t="s">
        <v>53</v>
      </c>
      <c r="I71" s="29" t="s">
        <v>54</v>
      </c>
      <c r="J71" s="29">
        <v>1.0</v>
      </c>
      <c r="K71" s="29">
        <v>1.0</v>
      </c>
      <c r="L71" s="29" t="s">
        <v>53</v>
      </c>
      <c r="M71" s="29" t="s">
        <v>115</v>
      </c>
      <c r="N71" s="33" t="s">
        <v>598</v>
      </c>
    </row>
    <row r="72" ht="22.5" customHeight="1">
      <c r="A72" s="26" t="s">
        <v>599</v>
      </c>
      <c r="B72" s="27" t="s">
        <v>120</v>
      </c>
      <c r="C72" s="28" t="s">
        <v>62</v>
      </c>
      <c r="D72" s="29" t="s">
        <v>600</v>
      </c>
      <c r="E72" s="35" t="inlineStr">
        <is>
          <t>Открыть HTML</t>
        </is>
      </c>
      <c r="F72" s="29" t="inlineStr">
        <is>
          <t>ок</t>
        </is>
      </c>
      <c r="G72" s="29" t="s">
        <v>235</v>
      </c>
      <c r="H72" s="29" t="s">
        <v>53</v>
      </c>
      <c r="I72" s="29" t="s">
        <v>114</v>
      </c>
      <c r="J72" s="29">
        <v>3.0</v>
      </c>
      <c r="K72" s="29">
        <v>4.0</v>
      </c>
      <c r="L72" s="29" t="s">
        <v>53</v>
      </c>
      <c r="M72" s="29" t="s">
        <v>115</v>
      </c>
      <c r="N72" s="33" t="s">
        <v>604</v>
      </c>
    </row>
    <row r="73" ht="22.5" customHeight="1">
      <c r="A73" s="26" t="s">
        <v>605</v>
      </c>
      <c r="B73" s="27" t="s">
        <v>182</v>
      </c>
      <c r="C73" s="28" t="s">
        <v>62</v>
      </c>
      <c r="D73" s="29" t="s">
        <v>606</v>
      </c>
      <c r="E73" s="35" t="inlineStr">
        <is>
          <t>Открыть HTML</t>
        </is>
      </c>
      <c r="F73" s="29" t="inlineStr">
        <is>
          <t>ок</t>
        </is>
      </c>
      <c r="G73" s="29" t="s">
        <v>235</v>
      </c>
      <c r="H73" s="29" t="s">
        <v>53</v>
      </c>
      <c r="I73" s="29" t="s">
        <v>54</v>
      </c>
      <c r="J73" s="29">
        <v>2.0</v>
      </c>
      <c r="K73" s="29">
        <v>2.0</v>
      </c>
      <c r="L73" s="29" t="s">
        <v>53</v>
      </c>
      <c r="M73" s="29" t="s">
        <v>115</v>
      </c>
      <c r="N73" s="33" t="s">
        <v>611</v>
      </c>
    </row>
    <row r="74" ht="22.5" customHeight="1">
      <c r="A74" s="26" t="s">
        <v>612</v>
      </c>
      <c r="B74" s="27" t="s">
        <v>613</v>
      </c>
      <c r="C74" s="28" t="s">
        <v>37</v>
      </c>
      <c r="D74" s="29" t="s">
        <v>614</v>
      </c>
      <c r="E74" s="35" t="inlineStr">
        <is>
          <t>Открыть HTML</t>
        </is>
      </c>
      <c r="F74" s="29" t="inlineStr">
        <is>
          <t>ок</t>
        </is>
      </c>
      <c r="G74" s="29" t="s">
        <v>361</v>
      </c>
      <c r="H74" s="29" t="s">
        <v>53</v>
      </c>
      <c r="I74" s="29" t="s">
        <v>196</v>
      </c>
      <c r="J74" s="29">
        <v>4.0</v>
      </c>
      <c r="K74" s="29">
        <v>3.0</v>
      </c>
      <c r="L74" s="29" t="s">
        <v>53</v>
      </c>
      <c r="M74" s="29" t="s">
        <v>115</v>
      </c>
      <c r="N74" s="33" t="s">
        <v>618</v>
      </c>
    </row>
    <row r="75" ht="22.5" customHeight="1">
      <c r="A75" s="26" t="s">
        <v>619</v>
      </c>
      <c r="B75" s="27" t="s">
        <v>620</v>
      </c>
      <c r="C75" s="28" t="s">
        <v>37</v>
      </c>
      <c r="D75" s="29" t="s">
        <v>621</v>
      </c>
      <c r="E75" s="35" t="inlineStr">
        <is>
          <t>Открыть HTML</t>
        </is>
      </c>
      <c r="F75" s="29" t="inlineStr">
        <is>
          <t>ок</t>
        </is>
      </c>
      <c r="G75" s="29" t="s">
        <v>284</v>
      </c>
      <c r="H75" s="29" t="s">
        <v>53</v>
      </c>
      <c r="I75" s="29" t="s">
        <v>54</v>
      </c>
      <c r="J75" s="29">
        <v>4.0</v>
      </c>
      <c r="K75" s="29">
        <v>4.0</v>
      </c>
      <c r="L75" s="29" t="s">
        <v>53</v>
      </c>
      <c r="M75" s="29" t="s">
        <v>115</v>
      </c>
      <c r="N75" s="33" t="s">
        <v>626</v>
      </c>
    </row>
    <row r="76" ht="22.5" customHeight="1">
      <c r="A76" s="26" t="s">
        <v>627</v>
      </c>
      <c r="B76" s="27" t="s">
        <v>628</v>
      </c>
      <c r="C76" s="28" t="s">
        <v>62</v>
      </c>
      <c r="D76" s="29" t="s">
        <v>629</v>
      </c>
      <c r="E76" s="35" t="inlineStr">
        <is>
          <t>Открыть HTML</t>
        </is>
      </c>
      <c r="F76" s="29" t="inlineStr">
        <is>
          <t>ок</t>
        </is>
      </c>
      <c r="G76" s="29" t="s">
        <v>154</v>
      </c>
      <c r="H76" s="29" t="s">
        <v>53</v>
      </c>
      <c r="I76" s="29" t="s">
        <v>54</v>
      </c>
      <c r="J76" s="29">
        <v>5.0</v>
      </c>
      <c r="K76" s="29">
        <v>5.0</v>
      </c>
      <c r="L76" s="29" t="s">
        <v>53</v>
      </c>
      <c r="M76" s="29" t="s">
        <v>58</v>
      </c>
      <c r="N76" s="33" t="s">
        <v>633</v>
      </c>
    </row>
    <row r="77" ht="22.5" customHeight="1">
      <c r="A77" s="26" t="s">
        <v>634</v>
      </c>
      <c r="B77" s="27" t="s">
        <v>322</v>
      </c>
      <c r="C77" s="28" t="s">
        <v>62</v>
      </c>
      <c r="D77" s="29" t="s">
        <v>635</v>
      </c>
      <c r="E77" s="35" t="inlineStr">
        <is>
          <t>Открыть HTML</t>
        </is>
      </c>
      <c r="F77" s="29" t="inlineStr">
        <is>
          <t>ок</t>
        </is>
      </c>
      <c r="G77" s="29" t="s">
        <v>154</v>
      </c>
      <c r="H77" s="29" t="s">
        <v>53</v>
      </c>
      <c r="I77" s="29" t="s">
        <v>196</v>
      </c>
      <c r="J77" s="29">
        <v>5.0</v>
      </c>
      <c r="K77" s="29">
        <v>5.0</v>
      </c>
      <c r="L77" s="29" t="s">
        <v>164</v>
      </c>
      <c r="M77" s="29" t="s">
        <v>138</v>
      </c>
      <c r="N77" s="33" t="s">
        <v>640</v>
      </c>
    </row>
    <row r="78" ht="22.5" customHeight="1">
      <c r="A78" s="26" t="s">
        <v>641</v>
      </c>
      <c r="B78" s="27" t="s">
        <v>642</v>
      </c>
      <c r="C78" s="28" t="s">
        <v>96</v>
      </c>
      <c r="D78" s="29" t="s">
        <v>643</v>
      </c>
      <c r="E78" s="35" t="inlineStr">
        <is>
          <t>Открыть HTML</t>
        </is>
      </c>
      <c r="F78" s="29" t="inlineStr">
        <is>
          <t>ок</t>
        </is>
      </c>
      <c r="G78" s="29" t="s">
        <v>154</v>
      </c>
      <c r="H78" s="29" t="s">
        <v>53</v>
      </c>
      <c r="I78" s="29" t="s">
        <v>196</v>
      </c>
      <c r="J78" s="29">
        <v>5.0</v>
      </c>
      <c r="K78" s="29">
        <v>4.0</v>
      </c>
      <c r="L78" s="29" t="s">
        <v>164</v>
      </c>
      <c r="M78" s="29" t="s">
        <v>58</v>
      </c>
      <c r="N78" s="33" t="s">
        <v>647</v>
      </c>
    </row>
    <row r="79" ht="22.5" customHeight="1">
      <c r="A79" s="26" t="s">
        <v>648</v>
      </c>
      <c r="B79" s="27" t="s">
        <v>649</v>
      </c>
      <c r="C79" s="28" t="s">
        <v>37</v>
      </c>
      <c r="D79" s="29" t="s">
        <v>650</v>
      </c>
      <c r="E79" s="32" t="inlineStr">
        <is>
          <t>Открыть HTML</t>
        </is>
      </c>
      <c r="F79" s="29" t="inlineStr">
        <is>
          <t>ок</t>
        </is>
      </c>
      <c r="G79" s="29" t="s">
        <v>284</v>
      </c>
      <c r="H79" s="29" t="s">
        <v>53</v>
      </c>
      <c r="I79" s="29" t="s">
        <v>54</v>
      </c>
      <c r="J79" s="29">
        <v>4.0</v>
      </c>
      <c r="K79" s="29">
        <v>4.0</v>
      </c>
      <c r="L79" s="29" t="s">
        <v>53</v>
      </c>
      <c r="M79" s="29" t="s">
        <v>115</v>
      </c>
      <c r="N79" s="33" t="s">
        <v>654</v>
      </c>
    </row>
    <row r="80" ht="22.5" customHeight="1">
      <c r="A80" s="26" t="s">
        <v>655</v>
      </c>
      <c r="B80" s="27" t="s">
        <v>182</v>
      </c>
      <c r="C80" s="28" t="s">
        <v>62</v>
      </c>
      <c r="D80" s="29" t="s">
        <v>656</v>
      </c>
      <c r="E80" s="35" t="inlineStr">
        <is>
          <t>Открыть HTML</t>
        </is>
      </c>
      <c r="F80" s="29" t="inlineStr">
        <is>
          <t>ок</t>
        </is>
      </c>
      <c r="G80" s="29" t="s">
        <v>361</v>
      </c>
      <c r="H80" s="29" t="s">
        <v>53</v>
      </c>
      <c r="I80" s="29" t="s">
        <v>54</v>
      </c>
      <c r="J80" s="29">
        <v>4.0</v>
      </c>
      <c r="K80" s="29">
        <v>4.0</v>
      </c>
      <c r="L80" s="29" t="s">
        <v>53</v>
      </c>
      <c r="M80" s="29" t="s">
        <v>115</v>
      </c>
      <c r="N80" s="33" t="s">
        <v>660</v>
      </c>
    </row>
    <row r="81" ht="22.5" customHeight="1">
      <c r="A81" s="26" t="s">
        <v>661</v>
      </c>
      <c r="B81" s="27" t="s">
        <v>662</v>
      </c>
      <c r="C81" s="28" t="s">
        <v>62</v>
      </c>
      <c r="D81" s="29" t="s">
        <v>663</v>
      </c>
      <c r="E81" s="35" t="inlineStr">
        <is>
          <t>Открыть HTML</t>
        </is>
      </c>
      <c r="F81" s="29" t="inlineStr">
        <is>
          <t>ок</t>
        </is>
      </c>
      <c r="G81" s="29" t="s">
        <v>284</v>
      </c>
      <c r="H81" s="29" t="s">
        <v>53</v>
      </c>
      <c r="I81" s="29" t="s">
        <v>196</v>
      </c>
      <c r="J81" s="29">
        <v>3.0</v>
      </c>
      <c r="K81" s="29">
        <v>1.0</v>
      </c>
      <c r="L81" s="29" t="s">
        <v>164</v>
      </c>
      <c r="M81" s="29" t="s">
        <v>58</v>
      </c>
      <c r="N81" s="33" t="s">
        <v>667</v>
      </c>
    </row>
    <row r="82" ht="22.5" customHeight="1">
      <c r="A82" s="26" t="s">
        <v>668</v>
      </c>
      <c r="B82" s="27" t="s">
        <v>669</v>
      </c>
      <c r="C82" s="28" t="s">
        <v>62</v>
      </c>
      <c r="D82" s="29" t="s">
        <v>670</v>
      </c>
      <c r="E82" s="35" t="inlineStr">
        <is>
          <t>Открыть HTML</t>
        </is>
      </c>
      <c r="F82" s="29" t="inlineStr">
        <is>
          <t>ок</t>
        </is>
      </c>
      <c r="G82" s="29" t="s">
        <v>284</v>
      </c>
      <c r="H82" s="29" t="s">
        <v>53</v>
      </c>
      <c r="I82" s="29" t="s">
        <v>54</v>
      </c>
      <c r="J82" s="29">
        <v>4.0</v>
      </c>
      <c r="K82" s="29">
        <v>4.0</v>
      </c>
      <c r="L82" s="29" t="s">
        <v>53</v>
      </c>
      <c r="M82" s="29" t="s">
        <v>115</v>
      </c>
      <c r="N82" s="33" t="s">
        <v>675</v>
      </c>
    </row>
    <row r="83" ht="22.5" customHeight="1">
      <c r="A83" s="26" t="s">
        <v>676</v>
      </c>
      <c r="B83" s="27" t="s">
        <v>677</v>
      </c>
      <c r="C83" s="28" t="s">
        <v>37</v>
      </c>
      <c r="D83" s="29" t="s">
        <v>678</v>
      </c>
      <c r="E83" s="35" t="inlineStr">
        <is>
          <t>Открыть HTML</t>
        </is>
      </c>
      <c r="F83" s="29" t="inlineStr">
        <is>
          <t>ок</t>
        </is>
      </c>
      <c r="G83" s="29" t="s">
        <v>284</v>
      </c>
      <c r="H83" s="29" t="s">
        <v>53</v>
      </c>
      <c r="I83" s="29" t="s">
        <v>54</v>
      </c>
      <c r="J83" s="29">
        <v>5.0</v>
      </c>
      <c r="K83" s="29">
        <v>5.0</v>
      </c>
      <c r="L83" s="29" t="s">
        <v>53</v>
      </c>
      <c r="M83" s="29" t="s">
        <v>58</v>
      </c>
      <c r="N83" s="33" t="s">
        <v>682</v>
      </c>
    </row>
    <row r="84" ht="22.5" customHeight="1">
      <c r="A84" s="26" t="s">
        <v>683</v>
      </c>
      <c r="B84" s="27" t="s">
        <v>329</v>
      </c>
      <c r="C84" s="28" t="s">
        <v>62</v>
      </c>
      <c r="D84" s="29" t="s">
        <v>684</v>
      </c>
      <c r="E84" s="35" t="inlineStr">
        <is>
          <t>Открыть HTML</t>
        </is>
      </c>
      <c r="F84" s="29" t="inlineStr">
        <is>
          <t>ок</t>
        </is>
      </c>
      <c r="G84" s="29" t="s">
        <v>284</v>
      </c>
      <c r="H84" s="29" t="s">
        <v>53</v>
      </c>
      <c r="I84" s="29" t="s">
        <v>54</v>
      </c>
      <c r="J84" s="29">
        <v>4.0</v>
      </c>
      <c r="K84" s="29">
        <v>4.0</v>
      </c>
      <c r="L84" s="29" t="s">
        <v>53</v>
      </c>
      <c r="M84" s="29" t="s">
        <v>115</v>
      </c>
      <c r="N84" s="33" t="s">
        <v>689</v>
      </c>
    </row>
    <row r="85" ht="22.5" customHeight="1">
      <c r="A85" s="26" t="s">
        <v>690</v>
      </c>
      <c r="B85" s="27" t="s">
        <v>36</v>
      </c>
      <c r="C85" s="28" t="s">
        <v>62</v>
      </c>
      <c r="D85" s="29" t="s">
        <v>691</v>
      </c>
      <c r="E85" s="35" t="inlineStr">
        <is>
          <t>Открыть HTML</t>
        </is>
      </c>
      <c r="F85" s="29" t="inlineStr">
        <is>
          <t>ок</t>
        </is>
      </c>
      <c r="G85" s="29" t="s">
        <v>284</v>
      </c>
      <c r="H85" s="29" t="s">
        <v>53</v>
      </c>
      <c r="I85" s="29" t="s">
        <v>54</v>
      </c>
      <c r="J85" s="29">
        <v>5.0</v>
      </c>
      <c r="K85" s="29">
        <v>5.0</v>
      </c>
      <c r="L85" s="29" t="s">
        <v>53</v>
      </c>
      <c r="M85" s="29" t="s">
        <v>58</v>
      </c>
      <c r="N85" s="33" t="s">
        <v>696</v>
      </c>
    </row>
    <row r="86" ht="22.5" customHeight="1">
      <c r="A86" s="26" t="s">
        <v>697</v>
      </c>
      <c r="B86" s="27" t="s">
        <v>530</v>
      </c>
      <c r="C86" s="28" t="s">
        <v>37</v>
      </c>
      <c r="D86" s="29" t="s">
        <v>698</v>
      </c>
      <c r="E86" s="35" t="inlineStr">
        <is>
          <t>Открыть HTML</t>
        </is>
      </c>
      <c r="F86" s="29" t="inlineStr">
        <is>
          <t>ок</t>
        </is>
      </c>
      <c r="G86" s="29" t="s">
        <v>284</v>
      </c>
      <c r="H86" s="29" t="s">
        <v>53</v>
      </c>
      <c r="I86" s="29" t="s">
        <v>54</v>
      </c>
      <c r="J86" s="29">
        <v>5.0</v>
      </c>
      <c r="K86" s="29">
        <v>5.0</v>
      </c>
      <c r="L86" s="29" t="s">
        <v>53</v>
      </c>
      <c r="M86" s="29" t="s">
        <v>58</v>
      </c>
      <c r="N86" s="33" t="s">
        <v>702</v>
      </c>
    </row>
    <row r="87" ht="22.5" customHeight="1">
      <c r="A87" s="26" t="s">
        <v>703</v>
      </c>
      <c r="B87" s="27" t="s">
        <v>95</v>
      </c>
      <c r="C87" s="28" t="s">
        <v>62</v>
      </c>
      <c r="D87" s="29" t="s">
        <v>705</v>
      </c>
      <c r="E87" s="35" t="inlineStr">
        <is>
          <t>Открыть HTML</t>
        </is>
      </c>
      <c r="F87" s="29" t="inlineStr">
        <is>
          <t>ок</t>
        </is>
      </c>
      <c r="G87" s="29" t="s">
        <v>113</v>
      </c>
      <c r="H87" s="29" t="s">
        <v>53</v>
      </c>
      <c r="I87" s="29" t="s">
        <v>114</v>
      </c>
      <c r="J87" s="29">
        <v>4.0</v>
      </c>
      <c r="K87" s="29">
        <v>4.0</v>
      </c>
      <c r="L87" s="29" t="s">
        <v>53</v>
      </c>
      <c r="M87" s="29" t="s">
        <v>115</v>
      </c>
      <c r="N87" s="33" t="s">
        <v>709</v>
      </c>
    </row>
    <row r="88" ht="22.5" customHeight="1">
      <c r="A88" s="26" t="s">
        <v>710</v>
      </c>
      <c r="B88" s="27" t="s">
        <v>182</v>
      </c>
      <c r="C88" s="28" t="s">
        <v>37</v>
      </c>
      <c r="D88" s="29" t="s">
        <v>711</v>
      </c>
      <c r="E88" s="35" t="inlineStr">
        <is>
          <t>Открыть HTML</t>
        </is>
      </c>
      <c r="F88" s="29" t="inlineStr">
        <is>
          <t>ок</t>
        </is>
      </c>
      <c r="G88" s="29" t="s">
        <v>235</v>
      </c>
      <c r="H88" s="29" t="s">
        <v>53</v>
      </c>
      <c r="I88" s="29" t="s">
        <v>196</v>
      </c>
      <c r="J88" s="29">
        <v>2.0</v>
      </c>
      <c r="K88" s="29">
        <v>2.0</v>
      </c>
      <c r="L88" s="29" t="s">
        <v>53</v>
      </c>
      <c r="M88" s="29" t="s">
        <v>138</v>
      </c>
      <c r="N88" s="33" t="s">
        <v>715</v>
      </c>
    </row>
    <row r="89">
      <c r="A89" s="26" t="s">
        <v>716</v>
      </c>
      <c r="B89" s="27" t="s">
        <v>120</v>
      </c>
      <c r="C89" s="28" t="s">
        <v>62</v>
      </c>
      <c r="D89" s="29" t="s">
        <v>717</v>
      </c>
      <c r="E89" s="32" t="inlineStr">
        <is>
          <t>Открыть HTML</t>
        </is>
      </c>
      <c r="F89" s="29" t="inlineStr">
        <is>
          <t>ок</t>
        </is>
      </c>
      <c r="G89" s="29" t="s">
        <v>721</v>
      </c>
      <c r="H89" s="29" t="s">
        <v>53</v>
      </c>
      <c r="I89" s="29" t="s">
        <v>54</v>
      </c>
      <c r="J89" s="29">
        <v>4.0</v>
      </c>
      <c r="K89" s="29">
        <v>4.0</v>
      </c>
      <c r="L89" s="29" t="s">
        <v>53</v>
      </c>
      <c r="M89" s="29" t="s">
        <v>58</v>
      </c>
      <c r="N89" s="33" t="s">
        <v>722</v>
      </c>
    </row>
    <row r="90">
      <c r="A90" s="26" t="s">
        <v>723</v>
      </c>
      <c r="B90" s="27" t="s">
        <v>724</v>
      </c>
      <c r="C90" s="28" t="s">
        <v>37</v>
      </c>
      <c r="D90" s="29" t="s">
        <v>725</v>
      </c>
      <c r="E90" s="32" t="inlineStr">
        <is>
          <t>Открыть HTML</t>
        </is>
      </c>
      <c r="F90" s="29" t="inlineStr">
        <is>
          <t>ок</t>
        </is>
      </c>
      <c r="G90" s="29" t="s">
        <v>721</v>
      </c>
      <c r="H90" s="29" t="s">
        <v>53</v>
      </c>
      <c r="I90" s="29" t="s">
        <v>114</v>
      </c>
      <c r="J90" s="29">
        <v>4.0</v>
      </c>
      <c r="K90" s="29">
        <v>5.0</v>
      </c>
      <c r="L90" s="29" t="s">
        <v>53</v>
      </c>
      <c r="M90" s="29" t="s">
        <v>58</v>
      </c>
      <c r="N90" s="33" t="s">
        <v>729</v>
      </c>
    </row>
    <row r="91">
      <c r="A91" s="26" t="s">
        <v>730</v>
      </c>
      <c r="B91" s="27" t="s">
        <v>445</v>
      </c>
      <c r="C91" s="28" t="s">
        <v>62</v>
      </c>
      <c r="D91" s="29" t="s">
        <v>731</v>
      </c>
      <c r="E91" s="32" t="inlineStr">
        <is>
          <t>Открыть HTML</t>
        </is>
      </c>
      <c r="F91" s="29" t="inlineStr">
        <is>
          <t>ок</t>
        </is>
      </c>
      <c r="G91" s="29" t="s">
        <v>721</v>
      </c>
      <c r="H91" s="29" t="s">
        <v>53</v>
      </c>
      <c r="I91" s="29" t="s">
        <v>196</v>
      </c>
      <c r="J91" s="29">
        <v>4.0</v>
      </c>
      <c r="K91" s="29">
        <v>3.0</v>
      </c>
      <c r="L91" s="29" t="s">
        <v>53</v>
      </c>
      <c r="M91" s="29" t="s">
        <v>58</v>
      </c>
      <c r="N91" s="33" t="s">
        <v>736</v>
      </c>
    </row>
    <row r="92">
      <c r="A92" s="26" t="s">
        <v>737</v>
      </c>
      <c r="B92" s="27" t="s">
        <v>738</v>
      </c>
      <c r="C92" s="28" t="s">
        <v>62</v>
      </c>
      <c r="D92" s="29" t="s">
        <v>739</v>
      </c>
      <c r="E92" s="32" t="inlineStr">
        <is>
          <t>Открыть HTML</t>
        </is>
      </c>
      <c r="F92" s="29" t="inlineStr">
        <is>
          <t>ок</t>
        </is>
      </c>
      <c r="G92" s="47" t="s">
        <v>721</v>
      </c>
      <c r="H92" s="29" t="s">
        <v>53</v>
      </c>
      <c r="I92" s="29" t="s">
        <v>196</v>
      </c>
      <c r="J92" s="29">
        <v>4.0</v>
      </c>
      <c r="K92" s="29">
        <v>3.0</v>
      </c>
      <c r="L92" s="29" t="s">
        <v>53</v>
      </c>
      <c r="M92" s="29" t="s">
        <v>115</v>
      </c>
      <c r="N92" s="33" t="s">
        <v>744</v>
      </c>
    </row>
    <row r="93">
      <c r="A93" s="26" t="s">
        <v>745</v>
      </c>
      <c r="B93" s="27" t="s">
        <v>176</v>
      </c>
      <c r="C93" s="28" t="s">
        <v>37</v>
      </c>
      <c r="D93" s="29" t="s">
        <v>746</v>
      </c>
      <c r="E93" s="32" t="inlineStr">
        <is>
          <t>Открыть HTML</t>
        </is>
      </c>
      <c r="F93" s="29" t="inlineStr">
        <is>
          <t>ок</t>
        </is>
      </c>
      <c r="G93" s="47" t="s">
        <v>721</v>
      </c>
      <c r="H93" s="29" t="s">
        <v>53</v>
      </c>
      <c r="I93" s="29" t="s">
        <v>54</v>
      </c>
      <c r="J93" s="29">
        <v>4.0</v>
      </c>
      <c r="K93" s="29">
        <v>4.0</v>
      </c>
      <c r="L93" s="29" t="s">
        <v>53</v>
      </c>
      <c r="M93" s="29" t="s">
        <v>58</v>
      </c>
      <c r="N93" s="33" t="s">
        <v>751</v>
      </c>
    </row>
    <row r="94">
      <c r="A94" s="26" t="s">
        <v>752</v>
      </c>
      <c r="B94" s="27" t="s">
        <v>229</v>
      </c>
      <c r="C94" s="28" t="s">
        <v>96</v>
      </c>
      <c r="D94" s="29" t="s">
        <v>753</v>
      </c>
      <c r="E94" s="32" t="inlineStr">
        <is>
          <t>Открыть HTML</t>
        </is>
      </c>
      <c r="F94" s="29" t="inlineStr">
        <is>
          <t>ок</t>
        </is>
      </c>
      <c r="G94" s="47" t="s">
        <v>721</v>
      </c>
      <c r="H94" s="29" t="s">
        <v>53</v>
      </c>
      <c r="I94" s="29" t="s">
        <v>114</v>
      </c>
      <c r="J94" s="29">
        <v>4.0</v>
      </c>
      <c r="K94" s="29">
        <v>4.0</v>
      </c>
      <c r="L94" s="29" t="s">
        <v>53</v>
      </c>
      <c r="M94" s="29" t="s">
        <v>58</v>
      </c>
      <c r="N94" s="33" t="s">
        <v>757</v>
      </c>
    </row>
    <row r="95">
      <c r="A95" s="26" t="s">
        <v>758</v>
      </c>
      <c r="B95" s="27" t="s">
        <v>530</v>
      </c>
      <c r="C95" s="28" t="s">
        <v>62</v>
      </c>
      <c r="D95" s="29" t="s">
        <v>759</v>
      </c>
      <c r="E95" s="32" t="inlineStr">
        <is>
          <t>Открыть HTML</t>
        </is>
      </c>
      <c r="F95" s="29" t="inlineStr">
        <is>
          <t>ок</t>
        </is>
      </c>
      <c r="G95" s="47" t="s">
        <v>721</v>
      </c>
      <c r="H95" s="29" t="s">
        <v>53</v>
      </c>
      <c r="I95" s="29" t="s">
        <v>114</v>
      </c>
      <c r="J95" s="29">
        <v>3.0</v>
      </c>
      <c r="K95" s="29">
        <v>4.0</v>
      </c>
      <c r="L95" s="29" t="s">
        <v>53</v>
      </c>
      <c r="M95" s="29" t="s">
        <v>58</v>
      </c>
      <c r="N95" s="33" t="s">
        <v>764</v>
      </c>
    </row>
    <row r="96">
      <c r="A96" s="26" t="s">
        <v>765</v>
      </c>
      <c r="B96" s="27" t="s">
        <v>766</v>
      </c>
      <c r="C96" s="28" t="s">
        <v>37</v>
      </c>
      <c r="D96" s="29" t="s">
        <v>767</v>
      </c>
      <c r="E96" s="32" t="inlineStr">
        <is>
          <t>Открыть HTML</t>
        </is>
      </c>
      <c r="F96" s="29" t="inlineStr">
        <is>
          <t>ок</t>
        </is>
      </c>
      <c r="G96" s="47" t="s">
        <v>721</v>
      </c>
      <c r="H96" s="29" t="s">
        <v>53</v>
      </c>
      <c r="I96" s="29" t="s">
        <v>196</v>
      </c>
      <c r="J96" s="29">
        <v>4.0</v>
      </c>
      <c r="K96" s="29">
        <v>3.0</v>
      </c>
      <c r="L96" s="29" t="s">
        <v>53</v>
      </c>
      <c r="M96" s="29" t="s">
        <v>138</v>
      </c>
      <c r="N96" s="33" t="s">
        <v>771</v>
      </c>
    </row>
    <row r="97">
      <c r="A97" s="26" t="s">
        <v>772</v>
      </c>
      <c r="B97" s="27" t="s">
        <v>132</v>
      </c>
      <c r="C97" s="28" t="s">
        <v>62</v>
      </c>
      <c r="D97" s="29" t="s">
        <v>773</v>
      </c>
      <c r="E97" s="32" t="inlineStr">
        <is>
          <t>Открыть HTML</t>
        </is>
      </c>
      <c r="F97" s="29" t="inlineStr">
        <is>
          <t>ок</t>
        </is>
      </c>
      <c r="G97" s="47" t="s">
        <v>721</v>
      </c>
      <c r="H97" s="29" t="s">
        <v>53</v>
      </c>
      <c r="I97" s="29" t="s">
        <v>114</v>
      </c>
      <c r="J97" s="29">
        <v>4.0</v>
      </c>
      <c r="K97" s="29">
        <v>5.0</v>
      </c>
      <c r="L97" s="29" t="s">
        <v>53</v>
      </c>
      <c r="M97" s="29" t="s">
        <v>78</v>
      </c>
      <c r="N97" s="33" t="s">
        <v>779</v>
      </c>
    </row>
    <row r="98">
      <c r="A98" s="26" t="s">
        <v>780</v>
      </c>
      <c r="B98" s="27" t="s">
        <v>781</v>
      </c>
      <c r="C98" s="28" t="s">
        <v>62</v>
      </c>
      <c r="D98" s="29" t="s">
        <v>782</v>
      </c>
      <c r="E98" s="32" t="inlineStr">
        <is>
          <t>Открыть HTML</t>
        </is>
      </c>
      <c r="F98" s="29" t="inlineStr">
        <is>
          <t>ок</t>
        </is>
      </c>
      <c r="G98" s="47" t="s">
        <v>721</v>
      </c>
      <c r="H98" s="29" t="s">
        <v>53</v>
      </c>
      <c r="I98" s="29" t="s">
        <v>114</v>
      </c>
      <c r="J98" s="29">
        <v>4.0</v>
      </c>
      <c r="K98" s="29">
        <v>5.0</v>
      </c>
      <c r="L98" s="29" t="s">
        <v>53</v>
      </c>
      <c r="M98" s="29" t="s">
        <v>58</v>
      </c>
      <c r="N98" s="33" t="s">
        <v>786</v>
      </c>
    </row>
    <row r="99">
      <c r="A99" s="26" t="s">
        <v>787</v>
      </c>
      <c r="B99" s="27" t="s">
        <v>530</v>
      </c>
      <c r="C99" s="28" t="s">
        <v>62</v>
      </c>
      <c r="D99" s="29" t="s">
        <v>788</v>
      </c>
      <c r="E99" s="32" t="inlineStr">
        <is>
          <t>Открыть HTML</t>
        </is>
      </c>
      <c r="F99" s="29" t="inlineStr">
        <is>
          <t>ок</t>
        </is>
      </c>
      <c r="G99" s="47" t="s">
        <v>721</v>
      </c>
      <c r="H99" s="29" t="s">
        <v>53</v>
      </c>
      <c r="I99" s="29" t="s">
        <v>196</v>
      </c>
      <c r="J99" s="29">
        <v>4.0</v>
      </c>
      <c r="K99" s="29">
        <v>3.0</v>
      </c>
      <c r="L99" s="29" t="s">
        <v>53</v>
      </c>
      <c r="M99" s="29" t="s">
        <v>115</v>
      </c>
      <c r="N99" s="33" t="s">
        <v>792</v>
      </c>
    </row>
    <row r="100">
      <c r="A100" s="26" t="s">
        <v>793</v>
      </c>
      <c r="B100" s="27" t="s">
        <v>677</v>
      </c>
      <c r="C100" s="28" t="s">
        <v>62</v>
      </c>
      <c r="D100" s="29" t="s">
        <v>795</v>
      </c>
      <c r="E100" s="32" t="inlineStr">
        <is>
          <t>Открыть HTML</t>
        </is>
      </c>
      <c r="F100" s="29" t="inlineStr">
        <is>
          <t>ок</t>
        </is>
      </c>
      <c r="G100" s="47" t="s">
        <v>721</v>
      </c>
      <c r="H100" s="29" t="s">
        <v>53</v>
      </c>
      <c r="I100" s="29" t="s">
        <v>114</v>
      </c>
      <c r="J100" s="29">
        <v>3.0</v>
      </c>
      <c r="K100" s="29">
        <v>4.0</v>
      </c>
      <c r="L100" s="29" t="s">
        <v>53</v>
      </c>
      <c r="M100" s="29" t="s">
        <v>78</v>
      </c>
      <c r="N100" s="33" t="s">
        <v>799</v>
      </c>
    </row>
    <row r="101">
      <c r="A101" s="26" t="s">
        <v>800</v>
      </c>
      <c r="B101" s="27" t="s">
        <v>120</v>
      </c>
      <c r="C101" s="28" t="s">
        <v>62</v>
      </c>
      <c r="D101" s="29" t="s">
        <v>801</v>
      </c>
      <c r="E101" s="32" t="inlineStr">
        <is>
          <t>Открыть HTML</t>
        </is>
      </c>
      <c r="F101" s="29" t="inlineStr">
        <is>
          <t>ок</t>
        </is>
      </c>
      <c r="G101" s="47" t="s">
        <v>721</v>
      </c>
      <c r="H101" s="29" t="s">
        <v>53</v>
      </c>
      <c r="I101" s="29" t="s">
        <v>196</v>
      </c>
      <c r="J101" s="29">
        <v>4.0</v>
      </c>
      <c r="K101" s="29">
        <v>3.0</v>
      </c>
      <c r="L101" s="29" t="s">
        <v>53</v>
      </c>
      <c r="M101" s="29" t="s">
        <v>138</v>
      </c>
      <c r="N101" s="33" t="s">
        <v>805</v>
      </c>
    </row>
    <row r="102" ht="77.25" customHeight="1">
      <c r="A102" s="48" t="s">
        <v>806</v>
      </c>
      <c r="B102" s="49" t="s">
        <v>229</v>
      </c>
      <c r="C102" s="50" t="s">
        <v>96</v>
      </c>
      <c r="D102" s="47" t="s">
        <v>807</v>
      </c>
      <c r="E102" s="51" t="inlineStr">
        <is>
          <t>Открыть HTML</t>
        </is>
      </c>
      <c r="F102" s="47" t="inlineStr">
        <is>
          <t>ок</t>
        </is>
      </c>
      <c r="G102" s="47" t="s">
        <v>721</v>
      </c>
      <c r="H102" s="47" t="s">
        <v>53</v>
      </c>
      <c r="I102" s="47" t="s">
        <v>54</v>
      </c>
      <c r="J102" s="47">
        <v>4.0</v>
      </c>
      <c r="K102" s="47">
        <v>4.0</v>
      </c>
      <c r="L102" s="47" t="s">
        <v>53</v>
      </c>
      <c r="M102" s="47" t="s">
        <v>115</v>
      </c>
      <c r="N102" s="52" t="s">
        <v>812</v>
      </c>
    </row>
    <row r="103" ht="77.25" customHeight="1">
      <c r="A103" s="28"/>
      <c r="B103" s="29"/>
      <c r="C103" s="28"/>
      <c r="D103" s="29"/>
      <c r="G103" s="29"/>
      <c r="H103" s="29"/>
      <c r="I103" s="29"/>
      <c r="J103" s="29"/>
      <c r="K103" s="29"/>
      <c r="L103" s="29"/>
      <c r="M103" s="29"/>
      <c r="N103" s="29"/>
    </row>
    <row r="104" ht="77.25" customHeight="1">
      <c r="A104" s="28"/>
      <c r="B104" s="29"/>
      <c r="C104" s="28"/>
      <c r="D104" s="29"/>
      <c r="G104" s="29"/>
      <c r="H104" s="29"/>
      <c r="I104" s="29"/>
      <c r="J104" s="29"/>
      <c r="K104" s="29"/>
      <c r="L104" s="29"/>
      <c r="M104" s="29"/>
      <c r="N104" s="29"/>
    </row>
    <row r="105" ht="77.25" customHeight="1">
      <c r="A105" s="28"/>
      <c r="B105" s="29"/>
      <c r="C105" s="28"/>
      <c r="D105" s="29"/>
      <c r="G105" s="29"/>
      <c r="H105" s="29"/>
      <c r="I105" s="29"/>
      <c r="J105" s="29"/>
      <c r="K105" s="29"/>
      <c r="L105" s="29"/>
      <c r="M105" s="29"/>
      <c r="N105" s="29"/>
    </row>
    <row r="106" ht="77.25" customHeight="1">
      <c r="A106" s="28"/>
      <c r="B106" s="29"/>
      <c r="C106" s="28"/>
      <c r="D106" s="29"/>
      <c r="G106" s="29"/>
      <c r="H106" s="29"/>
      <c r="I106" s="29"/>
      <c r="J106" s="29"/>
      <c r="K106" s="29"/>
      <c r="L106" s="29"/>
      <c r="M106" s="29"/>
      <c r="N106" s="29"/>
    </row>
    <row r="107" ht="77.25" customHeight="1">
      <c r="A107" s="28"/>
      <c r="B107" s="29"/>
      <c r="C107" s="28"/>
      <c r="D107" s="29"/>
      <c r="G107" s="29"/>
      <c r="H107" s="29"/>
      <c r="I107" s="29"/>
      <c r="J107" s="29"/>
      <c r="K107" s="29"/>
      <c r="L107" s="29"/>
      <c r="M107" s="29"/>
      <c r="N107" s="29"/>
    </row>
    <row r="108" ht="77.25" customHeight="1">
      <c r="A108" s="28"/>
      <c r="B108" s="29"/>
      <c r="C108" s="28"/>
      <c r="D108" s="29"/>
      <c r="G108" s="29"/>
      <c r="H108" s="29"/>
      <c r="I108" s="29"/>
      <c r="J108" s="29"/>
      <c r="K108" s="29"/>
      <c r="L108" s="29"/>
      <c r="M108" s="29"/>
      <c r="N108" s="29"/>
    </row>
    <row r="109" ht="77.25" customHeight="1">
      <c r="A109" s="28"/>
      <c r="B109" s="29"/>
      <c r="C109" s="28"/>
      <c r="D109" s="29"/>
      <c r="G109" s="29"/>
      <c r="H109" s="29"/>
      <c r="I109" s="29"/>
      <c r="J109" s="29"/>
      <c r="K109" s="29"/>
      <c r="L109" s="29"/>
      <c r="M109" s="29"/>
      <c r="N109" s="29"/>
    </row>
    <row r="110" ht="77.25" customHeight="1">
      <c r="A110" s="28"/>
      <c r="B110" s="29"/>
      <c r="C110" s="28"/>
      <c r="D110" s="29"/>
      <c r="G110" s="29"/>
      <c r="H110" s="29"/>
      <c r="I110" s="29"/>
      <c r="J110" s="29"/>
      <c r="K110" s="29"/>
      <c r="L110" s="29"/>
      <c r="M110" s="29"/>
      <c r="N110" s="29"/>
    </row>
    <row r="111" ht="77.25" customHeight="1">
      <c r="A111" s="28"/>
      <c r="B111" s="29"/>
      <c r="C111" s="28"/>
      <c r="D111" s="29"/>
      <c r="G111" s="29"/>
      <c r="H111" s="29"/>
      <c r="I111" s="29"/>
      <c r="J111" s="29"/>
      <c r="K111" s="29"/>
      <c r="L111" s="29"/>
      <c r="M111" s="29"/>
      <c r="N111" s="29"/>
    </row>
    <row r="112" ht="77.25" customHeight="1">
      <c r="A112" s="28"/>
      <c r="B112" s="29"/>
      <c r="C112" s="28"/>
      <c r="D112" s="29"/>
      <c r="G112" s="29"/>
      <c r="H112" s="29"/>
      <c r="I112" s="29"/>
      <c r="J112" s="29"/>
      <c r="K112" s="29"/>
      <c r="L112" s="29"/>
      <c r="M112" s="29"/>
      <c r="N112" s="29"/>
    </row>
    <row r="113" ht="77.25" customHeight="1">
      <c r="A113" s="28"/>
      <c r="B113" s="29"/>
      <c r="C113" s="28"/>
      <c r="D113" s="29"/>
      <c r="G113" s="29"/>
      <c r="H113" s="29"/>
      <c r="I113" s="29"/>
      <c r="J113" s="29"/>
      <c r="K113" s="29"/>
      <c r="L113" s="29"/>
      <c r="M113" s="29"/>
      <c r="N113" s="29"/>
    </row>
    <row r="114" ht="77.25" customHeight="1">
      <c r="A114" s="28"/>
      <c r="B114" s="29"/>
      <c r="C114" s="28"/>
      <c r="D114" s="29"/>
      <c r="G114" s="29"/>
      <c r="H114" s="29"/>
      <c r="I114" s="29"/>
      <c r="J114" s="29"/>
      <c r="K114" s="29"/>
      <c r="L114" s="29"/>
      <c r="M114" s="29"/>
      <c r="N114" s="29"/>
    </row>
    <row r="115" ht="77.25" customHeight="1">
      <c r="A115" s="28"/>
      <c r="B115" s="29"/>
      <c r="C115" s="28"/>
      <c r="D115" s="29"/>
      <c r="G115" s="29"/>
      <c r="H115" s="29"/>
      <c r="I115" s="29"/>
      <c r="J115" s="29"/>
      <c r="K115" s="29"/>
      <c r="L115" s="29"/>
      <c r="M115" s="29"/>
      <c r="N115" s="29"/>
    </row>
    <row r="116" ht="77.25" customHeight="1">
      <c r="A116" s="28"/>
      <c r="B116" s="29"/>
      <c r="C116" s="28"/>
      <c r="D116" s="29"/>
      <c r="G116" s="29"/>
      <c r="H116" s="29"/>
      <c r="I116" s="29"/>
      <c r="J116" s="29"/>
      <c r="K116" s="29"/>
      <c r="L116" s="29"/>
      <c r="M116" s="29"/>
      <c r="N116" s="29"/>
    </row>
    <row r="117" ht="77.25" customHeight="1">
      <c r="A117" s="28"/>
      <c r="B117" s="29"/>
      <c r="C117" s="28"/>
      <c r="D117" s="29"/>
      <c r="G117" s="29"/>
      <c r="H117" s="29"/>
      <c r="I117" s="29"/>
      <c r="J117" s="29"/>
      <c r="K117" s="29"/>
      <c r="L117" s="29"/>
      <c r="M117" s="29"/>
      <c r="N117" s="29"/>
    </row>
    <row r="118" ht="77.25" customHeight="1">
      <c r="A118" s="28"/>
      <c r="B118" s="29"/>
      <c r="C118" s="28"/>
      <c r="D118" s="29"/>
      <c r="G118" s="29"/>
      <c r="H118" s="29"/>
      <c r="I118" s="29"/>
      <c r="J118" s="29"/>
      <c r="K118" s="29"/>
      <c r="L118" s="29"/>
      <c r="M118" s="29"/>
      <c r="N118" s="29"/>
    </row>
    <row r="119" ht="77.25" customHeight="1">
      <c r="A119" s="28"/>
      <c r="B119" s="29"/>
      <c r="C119" s="28"/>
      <c r="D119" s="29"/>
      <c r="G119" s="29"/>
      <c r="H119" s="29"/>
      <c r="I119" s="29"/>
      <c r="J119" s="29"/>
      <c r="K119" s="29"/>
      <c r="L119" s="29"/>
      <c r="M119" s="29"/>
      <c r="N119" s="29"/>
    </row>
    <row r="120" ht="77.25" customHeight="1">
      <c r="A120" s="28"/>
      <c r="B120" s="29"/>
      <c r="C120" s="28"/>
      <c r="D120" s="29"/>
      <c r="G120" s="29"/>
      <c r="H120" s="29"/>
      <c r="I120" s="29"/>
      <c r="J120" s="29"/>
      <c r="K120" s="29"/>
      <c r="L120" s="29"/>
      <c r="M120" s="29"/>
      <c r="N120" s="29"/>
    </row>
    <row r="121" ht="77.25" customHeight="1">
      <c r="A121" s="28"/>
      <c r="B121" s="29"/>
      <c r="C121" s="28"/>
      <c r="D121" s="29"/>
      <c r="G121" s="29"/>
      <c r="H121" s="29"/>
      <c r="I121" s="29"/>
      <c r="J121" s="29"/>
      <c r="K121" s="29"/>
      <c r="L121" s="29"/>
      <c r="M121" s="29"/>
      <c r="N121" s="29"/>
    </row>
    <row r="122" ht="77.25" customHeight="1">
      <c r="A122" s="28"/>
      <c r="B122" s="29"/>
      <c r="C122" s="28"/>
      <c r="D122" s="29"/>
      <c r="G122" s="29"/>
      <c r="H122" s="29"/>
      <c r="I122" s="29"/>
      <c r="J122" s="29"/>
      <c r="K122" s="29"/>
      <c r="L122" s="29"/>
      <c r="M122" s="29"/>
      <c r="N122" s="29"/>
    </row>
    <row r="123" ht="77.25" customHeight="1">
      <c r="A123" s="28"/>
      <c r="B123" s="29"/>
      <c r="C123" s="28"/>
      <c r="D123" s="29"/>
      <c r="G123" s="29"/>
      <c r="H123" s="29"/>
      <c r="I123" s="29"/>
      <c r="J123" s="29"/>
      <c r="K123" s="29"/>
      <c r="L123" s="29"/>
      <c r="M123" s="29"/>
      <c r="N123" s="29"/>
    </row>
    <row r="124" ht="77.25" customHeight="1">
      <c r="A124" s="28"/>
      <c r="B124" s="29"/>
      <c r="C124" s="28"/>
      <c r="D124" s="29"/>
      <c r="G124" s="29"/>
      <c r="H124" s="29"/>
      <c r="I124" s="29"/>
      <c r="J124" s="29"/>
      <c r="K124" s="29"/>
      <c r="L124" s="29"/>
      <c r="M124" s="29"/>
      <c r="N124" s="29"/>
    </row>
    <row r="125" ht="77.25" customHeight="1">
      <c r="A125" s="28"/>
      <c r="B125" s="29"/>
      <c r="C125" s="28"/>
      <c r="D125" s="29"/>
      <c r="G125" s="29"/>
      <c r="H125" s="29"/>
      <c r="I125" s="29"/>
      <c r="J125" s="29"/>
      <c r="K125" s="29"/>
      <c r="L125" s="29"/>
      <c r="M125" s="29"/>
      <c r="N125" s="29"/>
    </row>
    <row r="126" ht="77.25" customHeight="1">
      <c r="A126" s="28"/>
      <c r="B126" s="29"/>
      <c r="C126" s="28"/>
      <c r="D126" s="29"/>
      <c r="G126" s="29"/>
      <c r="H126" s="29"/>
      <c r="I126" s="29"/>
      <c r="J126" s="29"/>
      <c r="K126" s="29"/>
      <c r="L126" s="29"/>
      <c r="M126" s="29"/>
      <c r="N126" s="29"/>
    </row>
    <row r="127" ht="77.25" customHeight="1">
      <c r="A127" s="28"/>
      <c r="B127" s="29"/>
      <c r="C127" s="28"/>
      <c r="D127" s="29"/>
      <c r="G127" s="29"/>
      <c r="H127" s="29"/>
      <c r="I127" s="29"/>
      <c r="J127" s="29"/>
      <c r="K127" s="29"/>
      <c r="L127" s="29"/>
      <c r="M127" s="29"/>
      <c r="N127" s="29"/>
    </row>
    <row r="128" ht="77.25" customHeight="1">
      <c r="A128" s="28"/>
      <c r="B128" s="29"/>
      <c r="C128" s="28"/>
      <c r="D128" s="29"/>
      <c r="G128" s="29"/>
      <c r="H128" s="29"/>
      <c r="I128" s="29"/>
      <c r="J128" s="29"/>
      <c r="K128" s="29"/>
      <c r="L128" s="29"/>
      <c r="M128" s="29"/>
      <c r="N128" s="29"/>
    </row>
    <row r="129" ht="77.25" customHeight="1">
      <c r="A129" s="28"/>
      <c r="B129" s="29"/>
      <c r="C129" s="28"/>
      <c r="D129" s="29"/>
      <c r="G129" s="29"/>
      <c r="H129" s="29"/>
      <c r="I129" s="29"/>
      <c r="J129" s="29"/>
      <c r="K129" s="29"/>
      <c r="L129" s="29"/>
      <c r="M129" s="29"/>
      <c r="N129" s="29"/>
    </row>
    <row r="130" ht="77.25" customHeight="1">
      <c r="A130" s="28"/>
      <c r="B130" s="29"/>
      <c r="C130" s="28"/>
      <c r="D130" s="29"/>
      <c r="G130" s="29"/>
      <c r="H130" s="29"/>
      <c r="I130" s="29"/>
      <c r="J130" s="29"/>
      <c r="K130" s="29"/>
      <c r="L130" s="29"/>
      <c r="M130" s="29"/>
      <c r="N130" s="29"/>
    </row>
    <row r="131" ht="77.25" customHeight="1">
      <c r="A131" s="28"/>
      <c r="B131" s="29"/>
      <c r="C131" s="28"/>
      <c r="D131" s="29"/>
      <c r="G131" s="29"/>
      <c r="H131" s="29"/>
      <c r="I131" s="29"/>
      <c r="J131" s="29"/>
      <c r="K131" s="29"/>
      <c r="L131" s="29"/>
      <c r="M131" s="29"/>
      <c r="N131" s="29"/>
    </row>
    <row r="132" ht="77.25" customHeight="1">
      <c r="A132" s="28"/>
      <c r="B132" s="29"/>
      <c r="C132" s="28"/>
      <c r="D132" s="29"/>
      <c r="G132" s="29"/>
      <c r="H132" s="29"/>
      <c r="I132" s="29"/>
      <c r="J132" s="29"/>
      <c r="K132" s="29"/>
      <c r="L132" s="29"/>
      <c r="M132" s="29"/>
      <c r="N132" s="29"/>
    </row>
    <row r="133" ht="77.25" customHeight="1">
      <c r="A133" s="28"/>
      <c r="B133" s="29"/>
      <c r="C133" s="28"/>
      <c r="D133" s="29"/>
      <c r="G133" s="29"/>
      <c r="H133" s="29"/>
      <c r="I133" s="29"/>
      <c r="J133" s="29"/>
      <c r="K133" s="29"/>
      <c r="L133" s="29"/>
      <c r="M133" s="29"/>
      <c r="N133" s="29"/>
    </row>
    <row r="134" ht="77.25" customHeight="1">
      <c r="A134" s="28"/>
      <c r="B134" s="29"/>
      <c r="C134" s="28"/>
      <c r="D134" s="29"/>
      <c r="G134" s="29"/>
      <c r="H134" s="29"/>
      <c r="I134" s="29"/>
      <c r="J134" s="29"/>
      <c r="K134" s="29"/>
      <c r="L134" s="29"/>
      <c r="M134" s="29"/>
      <c r="N134" s="29"/>
    </row>
    <row r="135" ht="77.25" customHeight="1">
      <c r="A135" s="28"/>
      <c r="B135" s="29"/>
      <c r="C135" s="28"/>
      <c r="D135" s="29"/>
      <c r="G135" s="29"/>
      <c r="H135" s="29"/>
      <c r="I135" s="29"/>
      <c r="J135" s="29"/>
      <c r="K135" s="29"/>
      <c r="L135" s="29"/>
      <c r="M135" s="29"/>
      <c r="N135" s="29"/>
    </row>
    <row r="136" ht="77.25" customHeight="1">
      <c r="A136" s="28"/>
      <c r="B136" s="29"/>
      <c r="C136" s="28"/>
      <c r="D136" s="29"/>
      <c r="G136" s="29"/>
      <c r="H136" s="29"/>
      <c r="I136" s="29"/>
      <c r="J136" s="29"/>
      <c r="K136" s="29"/>
      <c r="L136" s="29"/>
      <c r="M136" s="29"/>
      <c r="N136" s="29"/>
    </row>
    <row r="137" ht="77.25" customHeight="1">
      <c r="A137" s="28"/>
      <c r="B137" s="29"/>
      <c r="C137" s="28"/>
      <c r="D137" s="29"/>
      <c r="G137" s="29"/>
      <c r="H137" s="29"/>
      <c r="I137" s="29"/>
      <c r="J137" s="29"/>
      <c r="K137" s="29"/>
      <c r="L137" s="29"/>
      <c r="M137" s="29"/>
      <c r="N137" s="29"/>
    </row>
    <row r="138" ht="77.25" customHeight="1">
      <c r="A138" s="28"/>
      <c r="B138" s="29"/>
      <c r="C138" s="28"/>
      <c r="D138" s="29"/>
      <c r="G138" s="29"/>
      <c r="H138" s="29"/>
      <c r="I138" s="29"/>
      <c r="J138" s="29"/>
      <c r="K138" s="29"/>
      <c r="L138" s="29"/>
      <c r="M138" s="29"/>
      <c r="N138" s="29"/>
    </row>
    <row r="139" ht="77.25" customHeight="1">
      <c r="A139" s="28"/>
      <c r="B139" s="29"/>
      <c r="C139" s="28"/>
      <c r="D139" s="29"/>
      <c r="G139" s="29"/>
      <c r="H139" s="29"/>
      <c r="I139" s="29"/>
      <c r="J139" s="29"/>
      <c r="K139" s="29"/>
      <c r="L139" s="29"/>
      <c r="M139" s="29"/>
      <c r="N139" s="29"/>
    </row>
    <row r="140" ht="77.25" customHeight="1">
      <c r="A140" s="28"/>
      <c r="B140" s="29"/>
      <c r="C140" s="28"/>
      <c r="D140" s="29"/>
      <c r="G140" s="29"/>
      <c r="H140" s="29"/>
      <c r="I140" s="29"/>
      <c r="J140" s="29"/>
      <c r="K140" s="29"/>
      <c r="L140" s="29"/>
      <c r="M140" s="29"/>
      <c r="N140" s="29"/>
    </row>
    <row r="141" ht="77.25" customHeight="1">
      <c r="A141" s="28"/>
      <c r="B141" s="29"/>
      <c r="C141" s="28"/>
      <c r="D141" s="29"/>
      <c r="G141" s="29"/>
      <c r="H141" s="29"/>
      <c r="I141" s="29"/>
      <c r="J141" s="29"/>
      <c r="K141" s="29"/>
      <c r="L141" s="29"/>
      <c r="M141" s="29"/>
      <c r="N141" s="29"/>
    </row>
    <row r="142" ht="77.25" customHeight="1">
      <c r="A142" s="28"/>
      <c r="B142" s="29"/>
      <c r="C142" s="28"/>
      <c r="D142" s="29"/>
      <c r="G142" s="29"/>
      <c r="H142" s="29"/>
      <c r="I142" s="29"/>
      <c r="J142" s="29"/>
      <c r="K142" s="29"/>
      <c r="L142" s="29"/>
      <c r="M142" s="29"/>
      <c r="N142" s="29"/>
    </row>
    <row r="143" ht="77.25" customHeight="1">
      <c r="A143" s="28"/>
      <c r="B143" s="29"/>
      <c r="C143" s="28"/>
      <c r="D143" s="29"/>
      <c r="G143" s="29"/>
      <c r="H143" s="29"/>
      <c r="I143" s="29"/>
      <c r="J143" s="29"/>
      <c r="K143" s="29"/>
      <c r="L143" s="29"/>
      <c r="M143" s="29"/>
      <c r="N143" s="29"/>
    </row>
    <row r="144" ht="77.25" customHeight="1">
      <c r="A144" s="28"/>
      <c r="B144" s="29"/>
      <c r="C144" s="28"/>
      <c r="D144" s="29"/>
      <c r="G144" s="29"/>
      <c r="H144" s="29"/>
      <c r="I144" s="29"/>
      <c r="J144" s="29"/>
      <c r="K144" s="29"/>
      <c r="L144" s="29"/>
      <c r="M144" s="29"/>
      <c r="N144" s="29"/>
    </row>
    <row r="145" ht="77.25" customHeight="1">
      <c r="A145" s="28"/>
      <c r="B145" s="29"/>
      <c r="C145" s="28"/>
      <c r="D145" s="29"/>
      <c r="G145" s="29"/>
      <c r="H145" s="29"/>
      <c r="I145" s="29"/>
      <c r="J145" s="29"/>
      <c r="K145" s="29"/>
      <c r="L145" s="29"/>
      <c r="M145" s="29"/>
      <c r="N145" s="29"/>
    </row>
    <row r="146" ht="77.25" customHeight="1">
      <c r="A146" s="28"/>
      <c r="B146" s="29"/>
      <c r="C146" s="28"/>
      <c r="D146" s="29"/>
      <c r="G146" s="29"/>
      <c r="H146" s="29"/>
      <c r="I146" s="29"/>
      <c r="J146" s="29"/>
      <c r="K146" s="29"/>
      <c r="L146" s="29"/>
      <c r="M146" s="29"/>
      <c r="N146" s="29"/>
    </row>
    <row r="147" ht="77.25" customHeight="1">
      <c r="A147" s="28"/>
      <c r="B147" s="29"/>
      <c r="C147" s="28"/>
      <c r="D147" s="29"/>
      <c r="G147" s="29"/>
      <c r="H147" s="29"/>
      <c r="I147" s="29"/>
      <c r="J147" s="29"/>
      <c r="K147" s="29"/>
      <c r="L147" s="29"/>
      <c r="M147" s="29"/>
      <c r="N147" s="29"/>
    </row>
    <row r="148" ht="77.25" customHeight="1">
      <c r="A148" s="28"/>
      <c r="B148" s="29"/>
      <c r="C148" s="28"/>
      <c r="D148" s="29"/>
      <c r="G148" s="29"/>
      <c r="H148" s="29"/>
      <c r="I148" s="29"/>
      <c r="J148" s="29"/>
      <c r="K148" s="29"/>
      <c r="L148" s="29"/>
      <c r="M148" s="29"/>
      <c r="N148" s="29"/>
    </row>
    <row r="149" ht="77.25" customHeight="1">
      <c r="A149" s="28"/>
      <c r="B149" s="29"/>
      <c r="C149" s="28"/>
      <c r="D149" s="29"/>
      <c r="G149" s="29"/>
      <c r="H149" s="29"/>
      <c r="I149" s="29"/>
      <c r="J149" s="29"/>
      <c r="K149" s="29"/>
      <c r="L149" s="29"/>
      <c r="M149" s="29"/>
      <c r="N149" s="29"/>
    </row>
    <row r="150" ht="77.25" customHeight="1">
      <c r="A150" s="28"/>
      <c r="B150" s="29"/>
      <c r="C150" s="28"/>
      <c r="D150" s="29"/>
      <c r="G150" s="29"/>
      <c r="H150" s="29"/>
      <c r="I150" s="29"/>
      <c r="J150" s="29"/>
      <c r="K150" s="29"/>
      <c r="L150" s="29"/>
      <c r="M150" s="29"/>
      <c r="N150" s="29"/>
    </row>
    <row r="151" ht="77.25" customHeight="1">
      <c r="A151" s="28"/>
      <c r="B151" s="29"/>
      <c r="C151" s="28"/>
      <c r="D151" s="29"/>
      <c r="G151" s="29"/>
      <c r="H151" s="29"/>
      <c r="I151" s="29"/>
      <c r="J151" s="29"/>
      <c r="K151" s="29"/>
      <c r="L151" s="29"/>
      <c r="M151" s="29"/>
      <c r="N151" s="29"/>
    </row>
    <row r="152" ht="77.25" customHeight="1">
      <c r="A152" s="28"/>
      <c r="B152" s="29"/>
      <c r="C152" s="28"/>
      <c r="D152" s="29"/>
      <c r="G152" s="29"/>
      <c r="H152" s="29"/>
      <c r="I152" s="29"/>
      <c r="J152" s="29"/>
      <c r="K152" s="29"/>
      <c r="L152" s="29"/>
      <c r="M152" s="29"/>
      <c r="N152" s="29"/>
    </row>
    <row r="153" ht="77.25" customHeight="1">
      <c r="A153" s="28"/>
      <c r="B153" s="29"/>
      <c r="C153" s="28"/>
      <c r="D153" s="29"/>
      <c r="G153" s="29"/>
      <c r="H153" s="29"/>
      <c r="I153" s="29"/>
      <c r="J153" s="29"/>
      <c r="K153" s="29"/>
      <c r="L153" s="29"/>
      <c r="M153" s="29"/>
      <c r="N153" s="29"/>
    </row>
    <row r="154" ht="77.25" customHeight="1">
      <c r="A154" s="28"/>
      <c r="B154" s="29"/>
      <c r="C154" s="28"/>
      <c r="D154" s="29"/>
      <c r="G154" s="29"/>
      <c r="H154" s="29"/>
      <c r="I154" s="29"/>
      <c r="J154" s="29"/>
      <c r="K154" s="29"/>
      <c r="L154" s="29"/>
      <c r="M154" s="29"/>
      <c r="N154" s="29"/>
    </row>
    <row r="155" ht="77.25" customHeight="1">
      <c r="A155" s="28"/>
      <c r="B155" s="29"/>
      <c r="C155" s="28"/>
      <c r="D155" s="29"/>
      <c r="G155" s="29"/>
      <c r="H155" s="29"/>
      <c r="I155" s="29"/>
      <c r="J155" s="29"/>
      <c r="K155" s="29"/>
      <c r="L155" s="29"/>
      <c r="M155" s="29"/>
      <c r="N155" s="29"/>
    </row>
    <row r="156" ht="77.25" customHeight="1">
      <c r="A156" s="28"/>
      <c r="B156" s="29"/>
      <c r="C156" s="28"/>
      <c r="D156" s="29"/>
      <c r="G156" s="29"/>
      <c r="H156" s="29"/>
      <c r="I156" s="29"/>
      <c r="J156" s="29"/>
      <c r="K156" s="29"/>
      <c r="L156" s="29"/>
      <c r="M156" s="29"/>
      <c r="N156" s="29"/>
    </row>
    <row r="157" ht="77.25" customHeight="1">
      <c r="A157" s="28"/>
      <c r="B157" s="29"/>
      <c r="C157" s="28"/>
      <c r="D157" s="29"/>
      <c r="G157" s="29"/>
      <c r="H157" s="29"/>
      <c r="I157" s="29"/>
      <c r="J157" s="29"/>
      <c r="K157" s="29"/>
      <c r="L157" s="29"/>
      <c r="M157" s="29"/>
      <c r="N157" s="29"/>
    </row>
    <row r="158" ht="77.25" customHeight="1">
      <c r="A158" s="28"/>
      <c r="B158" s="29"/>
      <c r="C158" s="28"/>
      <c r="D158" s="29"/>
      <c r="G158" s="29"/>
      <c r="H158" s="29"/>
      <c r="I158" s="29"/>
      <c r="J158" s="29"/>
      <c r="K158" s="29"/>
      <c r="L158" s="29"/>
      <c r="M158" s="29"/>
      <c r="N158" s="29"/>
    </row>
    <row r="159" ht="77.25" customHeight="1">
      <c r="A159" s="28"/>
      <c r="B159" s="29"/>
      <c r="C159" s="28"/>
      <c r="D159" s="29"/>
      <c r="G159" s="29"/>
      <c r="H159" s="29"/>
      <c r="I159" s="29"/>
      <c r="J159" s="29"/>
      <c r="K159" s="29"/>
      <c r="L159" s="29"/>
      <c r="M159" s="29"/>
      <c r="N159" s="29"/>
    </row>
    <row r="160" ht="77.25" customHeight="1">
      <c r="A160" s="28"/>
      <c r="B160" s="29"/>
      <c r="C160" s="28"/>
      <c r="D160" s="29"/>
      <c r="G160" s="29"/>
      <c r="H160" s="29"/>
      <c r="I160" s="29"/>
      <c r="J160" s="29"/>
      <c r="K160" s="29"/>
      <c r="L160" s="29"/>
      <c r="M160" s="29"/>
      <c r="N160" s="29"/>
    </row>
    <row r="161" ht="77.25" customHeight="1">
      <c r="A161" s="28"/>
      <c r="B161" s="29"/>
      <c r="C161" s="28"/>
      <c r="D161" s="29"/>
      <c r="G161" s="29"/>
      <c r="H161" s="29"/>
      <c r="I161" s="29"/>
      <c r="J161" s="29"/>
      <c r="K161" s="29"/>
      <c r="L161" s="29"/>
      <c r="M161" s="29"/>
      <c r="N161" s="29"/>
    </row>
    <row r="162" ht="77.25" customHeight="1">
      <c r="A162" s="28"/>
      <c r="B162" s="29"/>
      <c r="C162" s="28"/>
      <c r="D162" s="29"/>
      <c r="G162" s="29"/>
      <c r="H162" s="29"/>
      <c r="I162" s="29"/>
      <c r="J162" s="29"/>
      <c r="K162" s="29"/>
      <c r="L162" s="29"/>
      <c r="M162" s="29"/>
      <c r="N162" s="29"/>
    </row>
    <row r="163" ht="77.25" customHeight="1">
      <c r="A163" s="28"/>
      <c r="B163" s="29"/>
      <c r="C163" s="28"/>
      <c r="D163" s="29"/>
      <c r="G163" s="29"/>
      <c r="H163" s="29"/>
      <c r="I163" s="29"/>
      <c r="J163" s="29"/>
      <c r="K163" s="29"/>
      <c r="L163" s="29"/>
      <c r="M163" s="29"/>
      <c r="N163" s="29"/>
    </row>
    <row r="164" ht="77.25" customHeight="1">
      <c r="A164" s="28"/>
      <c r="B164" s="29"/>
      <c r="C164" s="28"/>
      <c r="D164" s="29"/>
      <c r="G164" s="29"/>
      <c r="H164" s="29"/>
      <c r="I164" s="29"/>
      <c r="J164" s="29"/>
      <c r="K164" s="29"/>
      <c r="L164" s="29"/>
      <c r="M164" s="29"/>
      <c r="N164" s="29"/>
    </row>
    <row r="165" ht="77.25" customHeight="1">
      <c r="A165" s="28"/>
      <c r="B165" s="29"/>
      <c r="C165" s="28"/>
      <c r="D165" s="29"/>
      <c r="G165" s="29"/>
      <c r="H165" s="29"/>
      <c r="I165" s="29"/>
      <c r="J165" s="29"/>
      <c r="K165" s="29"/>
      <c r="L165" s="29"/>
      <c r="M165" s="29"/>
      <c r="N165" s="29"/>
    </row>
    <row r="166" ht="77.25" customHeight="1">
      <c r="A166" s="28"/>
      <c r="B166" s="29"/>
      <c r="C166" s="28"/>
      <c r="D166" s="29"/>
      <c r="G166" s="29"/>
      <c r="H166" s="29"/>
      <c r="I166" s="29"/>
      <c r="J166" s="29"/>
      <c r="K166" s="29"/>
      <c r="L166" s="29"/>
      <c r="M166" s="29"/>
      <c r="N166" s="29"/>
    </row>
    <row r="167" ht="77.25" customHeight="1">
      <c r="A167" s="28"/>
      <c r="B167" s="29"/>
      <c r="C167" s="28"/>
      <c r="D167" s="29"/>
      <c r="G167" s="29"/>
      <c r="H167" s="29"/>
      <c r="I167" s="29"/>
      <c r="J167" s="29"/>
      <c r="K167" s="29"/>
      <c r="L167" s="29"/>
      <c r="M167" s="29"/>
      <c r="N167" s="29"/>
    </row>
    <row r="168" ht="77.25" customHeight="1">
      <c r="A168" s="28"/>
      <c r="B168" s="29"/>
      <c r="C168" s="28"/>
      <c r="D168" s="29"/>
      <c r="G168" s="29"/>
      <c r="H168" s="29"/>
      <c r="I168" s="29"/>
      <c r="J168" s="29"/>
      <c r="K168" s="29"/>
      <c r="L168" s="29"/>
      <c r="M168" s="29"/>
      <c r="N168" s="29"/>
    </row>
    <row r="169" ht="77.25" customHeight="1">
      <c r="A169" s="28"/>
      <c r="B169" s="29"/>
      <c r="C169" s="28"/>
      <c r="D169" s="29"/>
      <c r="G169" s="29"/>
      <c r="H169" s="29"/>
      <c r="I169" s="29"/>
      <c r="J169" s="29"/>
      <c r="K169" s="29"/>
      <c r="L169" s="29"/>
      <c r="M169" s="29"/>
      <c r="N169" s="29"/>
    </row>
    <row r="170" ht="77.25" customHeight="1">
      <c r="A170" s="28"/>
      <c r="B170" s="29"/>
      <c r="C170" s="28"/>
      <c r="D170" s="29"/>
      <c r="G170" s="29"/>
      <c r="H170" s="29"/>
      <c r="I170" s="29"/>
      <c r="J170" s="29"/>
      <c r="K170" s="29"/>
      <c r="L170" s="29"/>
      <c r="M170" s="29"/>
      <c r="N170" s="29"/>
    </row>
    <row r="171" ht="77.25" customHeight="1">
      <c r="A171" s="28"/>
      <c r="B171" s="29"/>
      <c r="C171" s="28"/>
      <c r="D171" s="29"/>
      <c r="G171" s="29"/>
      <c r="H171" s="29"/>
      <c r="I171" s="29"/>
      <c r="J171" s="29"/>
      <c r="K171" s="29"/>
      <c r="L171" s="29"/>
      <c r="M171" s="29"/>
      <c r="N171" s="29"/>
    </row>
    <row r="172" ht="77.25" customHeight="1">
      <c r="A172" s="28"/>
      <c r="B172" s="29"/>
      <c r="C172" s="28"/>
      <c r="D172" s="29"/>
      <c r="G172" s="29"/>
      <c r="H172" s="29"/>
      <c r="I172" s="29"/>
      <c r="J172" s="29"/>
      <c r="K172" s="29"/>
      <c r="L172" s="29"/>
      <c r="M172" s="29"/>
      <c r="N172" s="29"/>
    </row>
    <row r="173" ht="77.25" customHeight="1">
      <c r="A173" s="28"/>
      <c r="B173" s="29"/>
      <c r="C173" s="28"/>
      <c r="D173" s="29"/>
      <c r="G173" s="29"/>
      <c r="H173" s="29"/>
      <c r="I173" s="29"/>
      <c r="J173" s="29"/>
      <c r="K173" s="29"/>
      <c r="L173" s="29"/>
      <c r="M173" s="29"/>
      <c r="N173" s="29"/>
    </row>
    <row r="174" ht="77.25" customHeight="1">
      <c r="A174" s="28"/>
      <c r="B174" s="29"/>
      <c r="C174" s="28"/>
      <c r="D174" s="29"/>
      <c r="G174" s="29"/>
      <c r="H174" s="29"/>
      <c r="I174" s="29"/>
      <c r="J174" s="29"/>
      <c r="K174" s="29"/>
      <c r="L174" s="29"/>
      <c r="M174" s="29"/>
      <c r="N174" s="29"/>
    </row>
    <row r="175" ht="77.25" customHeight="1">
      <c r="A175" s="28"/>
      <c r="B175" s="29"/>
      <c r="C175" s="28"/>
      <c r="D175" s="29"/>
      <c r="G175" s="29"/>
      <c r="H175" s="29"/>
      <c r="I175" s="29"/>
      <c r="J175" s="29"/>
      <c r="K175" s="29"/>
      <c r="L175" s="29"/>
      <c r="M175" s="29"/>
      <c r="N175" s="29"/>
    </row>
    <row r="176" ht="77.25" customHeight="1">
      <c r="A176" s="28"/>
      <c r="B176" s="29"/>
      <c r="C176" s="28"/>
      <c r="D176" s="29"/>
      <c r="G176" s="29"/>
      <c r="H176" s="29"/>
      <c r="I176" s="29"/>
      <c r="J176" s="29"/>
      <c r="K176" s="29"/>
      <c r="L176" s="29"/>
      <c r="M176" s="29"/>
      <c r="N176" s="29"/>
    </row>
    <row r="177" ht="77.25" customHeight="1">
      <c r="A177" s="28"/>
      <c r="B177" s="29"/>
      <c r="C177" s="28"/>
      <c r="D177" s="29"/>
      <c r="G177" s="29"/>
      <c r="H177" s="29"/>
      <c r="I177" s="29"/>
      <c r="J177" s="29"/>
      <c r="K177" s="29"/>
      <c r="L177" s="29"/>
      <c r="M177" s="29"/>
      <c r="N177" s="29"/>
    </row>
    <row r="178" ht="77.25" customHeight="1">
      <c r="A178" s="28"/>
      <c r="B178" s="29"/>
      <c r="C178" s="28"/>
      <c r="D178" s="29"/>
      <c r="G178" s="29"/>
      <c r="H178" s="29"/>
      <c r="I178" s="29"/>
      <c r="J178" s="29"/>
      <c r="K178" s="29"/>
      <c r="L178" s="29"/>
      <c r="M178" s="29"/>
      <c r="N178" s="29"/>
    </row>
    <row r="179" ht="77.25" customHeight="1">
      <c r="A179" s="28"/>
      <c r="B179" s="29"/>
      <c r="C179" s="28"/>
      <c r="D179" s="29"/>
      <c r="G179" s="29"/>
      <c r="H179" s="29"/>
      <c r="I179" s="29"/>
      <c r="J179" s="29"/>
      <c r="K179" s="29"/>
      <c r="L179" s="29"/>
      <c r="M179" s="29"/>
      <c r="N179" s="29"/>
    </row>
    <row r="180" ht="77.25" customHeight="1">
      <c r="A180" s="28"/>
      <c r="B180" s="29"/>
      <c r="C180" s="28"/>
      <c r="D180" s="29"/>
      <c r="G180" s="29"/>
      <c r="H180" s="29"/>
      <c r="I180" s="29"/>
      <c r="J180" s="29"/>
      <c r="K180" s="29"/>
      <c r="L180" s="29"/>
      <c r="M180" s="29"/>
      <c r="N180" s="29"/>
    </row>
    <row r="181" ht="77.25" customHeight="1">
      <c r="A181" s="28"/>
      <c r="B181" s="29"/>
      <c r="C181" s="28"/>
      <c r="D181" s="29"/>
      <c r="G181" s="29"/>
      <c r="H181" s="29"/>
      <c r="I181" s="29"/>
      <c r="J181" s="29"/>
      <c r="K181" s="29"/>
      <c r="L181" s="29"/>
      <c r="M181" s="29"/>
      <c r="N181" s="29"/>
    </row>
    <row r="182" ht="77.25" customHeight="1">
      <c r="A182" s="28"/>
      <c r="B182" s="29"/>
      <c r="C182" s="28"/>
      <c r="D182" s="29"/>
      <c r="G182" s="29"/>
      <c r="H182" s="29"/>
      <c r="I182" s="29"/>
      <c r="J182" s="29"/>
      <c r="K182" s="29"/>
      <c r="L182" s="29"/>
      <c r="M182" s="29"/>
      <c r="N182" s="29"/>
    </row>
    <row r="183" ht="77.25" customHeight="1">
      <c r="A183" s="28"/>
      <c r="B183" s="29"/>
      <c r="C183" s="28"/>
      <c r="D183" s="29"/>
      <c r="G183" s="29"/>
      <c r="H183" s="29"/>
      <c r="I183" s="29"/>
      <c r="J183" s="29"/>
      <c r="K183" s="29"/>
      <c r="L183" s="29"/>
      <c r="M183" s="29"/>
      <c r="N183" s="29"/>
    </row>
    <row r="184" ht="77.25" customHeight="1">
      <c r="A184" s="28"/>
      <c r="B184" s="29"/>
      <c r="C184" s="28"/>
      <c r="D184" s="29"/>
      <c r="G184" s="29"/>
      <c r="H184" s="29"/>
      <c r="I184" s="29"/>
      <c r="J184" s="29"/>
      <c r="K184" s="29"/>
      <c r="L184" s="29"/>
      <c r="M184" s="29"/>
      <c r="N184" s="29"/>
    </row>
    <row r="185" ht="77.25" customHeight="1">
      <c r="A185" s="28"/>
      <c r="B185" s="29"/>
      <c r="C185" s="28"/>
      <c r="D185" s="29"/>
      <c r="G185" s="29"/>
      <c r="H185" s="29"/>
      <c r="I185" s="29"/>
      <c r="J185" s="29"/>
      <c r="K185" s="29"/>
      <c r="L185" s="29"/>
      <c r="M185" s="29"/>
      <c r="N185" s="29"/>
    </row>
    <row r="186" ht="77.25" customHeight="1">
      <c r="A186" s="28"/>
      <c r="B186" s="29"/>
      <c r="C186" s="28"/>
      <c r="D186" s="29"/>
      <c r="G186" s="29"/>
      <c r="H186" s="29"/>
      <c r="I186" s="29"/>
      <c r="J186" s="29"/>
      <c r="K186" s="29"/>
      <c r="L186" s="29"/>
      <c r="M186" s="29"/>
      <c r="N186" s="29"/>
    </row>
    <row r="187" ht="77.25" customHeight="1">
      <c r="A187" s="28"/>
      <c r="B187" s="29"/>
      <c r="C187" s="28"/>
      <c r="D187" s="29"/>
      <c r="G187" s="29"/>
      <c r="H187" s="29"/>
      <c r="I187" s="29"/>
      <c r="J187" s="29"/>
      <c r="K187" s="29"/>
      <c r="L187" s="29"/>
      <c r="M187" s="29"/>
      <c r="N187" s="29"/>
    </row>
    <row r="188" ht="77.25" customHeight="1">
      <c r="A188" s="28"/>
      <c r="B188" s="29"/>
      <c r="C188" s="28"/>
      <c r="D188" s="29"/>
      <c r="G188" s="29"/>
      <c r="H188" s="29"/>
      <c r="I188" s="29"/>
      <c r="J188" s="29"/>
      <c r="K188" s="29"/>
      <c r="L188" s="29"/>
      <c r="M188" s="29"/>
      <c r="N188" s="29"/>
    </row>
    <row r="189" ht="77.25" customHeight="1">
      <c r="A189" s="28"/>
      <c r="B189" s="29"/>
      <c r="C189" s="28"/>
      <c r="D189" s="29"/>
      <c r="G189" s="29"/>
      <c r="H189" s="29"/>
      <c r="I189" s="29"/>
      <c r="J189" s="29"/>
      <c r="K189" s="29"/>
      <c r="L189" s="29"/>
      <c r="M189" s="29"/>
      <c r="N189" s="29"/>
    </row>
    <row r="190" ht="77.25" customHeight="1">
      <c r="A190" s="28"/>
      <c r="B190" s="29"/>
      <c r="C190" s="28"/>
      <c r="D190" s="29"/>
      <c r="G190" s="29"/>
      <c r="H190" s="29"/>
      <c r="I190" s="29"/>
      <c r="J190" s="29"/>
      <c r="K190" s="29"/>
      <c r="L190" s="29"/>
      <c r="M190" s="29"/>
      <c r="N190" s="29"/>
    </row>
    <row r="191" ht="77.25" customHeight="1">
      <c r="A191" s="28"/>
      <c r="B191" s="29"/>
      <c r="C191" s="28"/>
      <c r="D191" s="29"/>
      <c r="G191" s="29"/>
      <c r="H191" s="29"/>
      <c r="I191" s="29"/>
      <c r="J191" s="29"/>
      <c r="K191" s="29"/>
      <c r="L191" s="29"/>
      <c r="M191" s="29"/>
      <c r="N191" s="29"/>
    </row>
    <row r="192" ht="77.25" customHeight="1">
      <c r="A192" s="28"/>
      <c r="B192" s="29"/>
      <c r="C192" s="28"/>
      <c r="D192" s="29"/>
      <c r="G192" s="29"/>
      <c r="H192" s="29"/>
      <c r="I192" s="29"/>
      <c r="J192" s="29"/>
      <c r="K192" s="29"/>
      <c r="L192" s="29"/>
      <c r="M192" s="29"/>
      <c r="N192" s="29"/>
    </row>
    <row r="193" ht="77.25" customHeight="1">
      <c r="A193" s="28"/>
      <c r="B193" s="29"/>
      <c r="C193" s="28"/>
      <c r="D193" s="29"/>
      <c r="G193" s="29"/>
      <c r="H193" s="29"/>
      <c r="I193" s="29"/>
      <c r="J193" s="29"/>
      <c r="K193" s="29"/>
      <c r="L193" s="29"/>
      <c r="M193" s="29"/>
      <c r="N193" s="29"/>
    </row>
    <row r="194" ht="77.25" customHeight="1">
      <c r="A194" s="28"/>
      <c r="B194" s="29"/>
      <c r="C194" s="28"/>
      <c r="D194" s="29"/>
      <c r="G194" s="29"/>
      <c r="H194" s="29"/>
      <c r="I194" s="29"/>
      <c r="J194" s="29"/>
      <c r="K194" s="29"/>
      <c r="L194" s="29"/>
      <c r="M194" s="29"/>
      <c r="N194" s="29"/>
    </row>
    <row r="195" ht="77.25" customHeight="1">
      <c r="A195" s="28"/>
      <c r="B195" s="29"/>
      <c r="C195" s="28"/>
      <c r="D195" s="29"/>
      <c r="G195" s="29"/>
      <c r="H195" s="29"/>
      <c r="I195" s="29"/>
      <c r="J195" s="29"/>
      <c r="K195" s="29"/>
      <c r="L195" s="29"/>
      <c r="M195" s="29"/>
      <c r="N195" s="29"/>
    </row>
    <row r="196" ht="77.25" customHeight="1">
      <c r="A196" s="28"/>
      <c r="B196" s="29"/>
      <c r="C196" s="28"/>
      <c r="D196" s="29"/>
      <c r="G196" s="29"/>
      <c r="H196" s="29"/>
      <c r="I196" s="29"/>
      <c r="J196" s="29"/>
      <c r="K196" s="29"/>
      <c r="L196" s="29"/>
      <c r="M196" s="29"/>
      <c r="N196" s="29"/>
    </row>
    <row r="197" ht="77.25" customHeight="1">
      <c r="A197" s="28"/>
      <c r="B197" s="29"/>
      <c r="C197" s="28"/>
      <c r="D197" s="29"/>
      <c r="G197" s="29"/>
      <c r="H197" s="29"/>
      <c r="I197" s="29"/>
      <c r="J197" s="29"/>
      <c r="K197" s="29"/>
      <c r="L197" s="29"/>
      <c r="M197" s="29"/>
      <c r="N197" s="29"/>
    </row>
    <row r="198" ht="77.25" customHeight="1">
      <c r="A198" s="28"/>
      <c r="B198" s="29"/>
      <c r="C198" s="28"/>
      <c r="D198" s="29"/>
      <c r="G198" s="29"/>
      <c r="H198" s="29"/>
      <c r="I198" s="29"/>
      <c r="J198" s="29"/>
      <c r="K198" s="29"/>
      <c r="L198" s="29"/>
      <c r="M198" s="29"/>
      <c r="N198" s="29"/>
    </row>
    <row r="199" ht="77.25" customHeight="1">
      <c r="A199" s="28"/>
      <c r="B199" s="29"/>
      <c r="C199" s="28"/>
      <c r="D199" s="29"/>
      <c r="G199" s="29"/>
      <c r="H199" s="29"/>
      <c r="I199" s="29"/>
      <c r="J199" s="29"/>
      <c r="K199" s="29"/>
      <c r="L199" s="29"/>
      <c r="M199" s="29"/>
      <c r="N199" s="29"/>
    </row>
    <row r="200" ht="77.25" customHeight="1">
      <c r="A200" s="28"/>
      <c r="B200" s="29"/>
      <c r="C200" s="28"/>
      <c r="D200" s="29"/>
      <c r="G200" s="29"/>
      <c r="H200" s="29"/>
      <c r="I200" s="29"/>
      <c r="J200" s="29"/>
      <c r="K200" s="29"/>
      <c r="L200" s="29"/>
      <c r="M200" s="29"/>
      <c r="N200" s="29"/>
    </row>
    <row r="201" ht="77.25" customHeight="1">
      <c r="A201" s="28"/>
      <c r="B201" s="29"/>
      <c r="C201" s="28"/>
      <c r="D201" s="29"/>
      <c r="G201" s="29"/>
      <c r="H201" s="29"/>
      <c r="I201" s="29"/>
      <c r="J201" s="29"/>
      <c r="K201" s="29"/>
      <c r="L201" s="29"/>
      <c r="M201" s="29"/>
      <c r="N201" s="29"/>
    </row>
    <row r="202" ht="77.25" customHeight="1">
      <c r="A202" s="28"/>
      <c r="B202" s="29"/>
      <c r="C202" s="28"/>
      <c r="D202" s="29"/>
      <c r="G202" s="29"/>
      <c r="H202" s="29"/>
      <c r="I202" s="29"/>
      <c r="J202" s="29"/>
      <c r="K202" s="29"/>
      <c r="L202" s="29"/>
      <c r="M202" s="29"/>
      <c r="N202" s="29"/>
    </row>
    <row r="203" ht="77.25" customHeight="1">
      <c r="A203" s="28"/>
      <c r="B203" s="29"/>
      <c r="C203" s="28"/>
      <c r="D203" s="29"/>
      <c r="G203" s="29"/>
      <c r="H203" s="29"/>
      <c r="I203" s="29"/>
      <c r="J203" s="29"/>
      <c r="K203" s="29"/>
      <c r="L203" s="29"/>
      <c r="M203" s="29"/>
      <c r="N203" s="29"/>
    </row>
    <row r="204" ht="77.25" customHeight="1">
      <c r="A204" s="28"/>
      <c r="B204" s="29"/>
      <c r="C204" s="28"/>
      <c r="D204" s="29"/>
      <c r="G204" s="29"/>
      <c r="H204" s="29"/>
      <c r="I204" s="29"/>
      <c r="J204" s="29"/>
      <c r="K204" s="29"/>
      <c r="L204" s="29"/>
      <c r="M204" s="29"/>
      <c r="N204" s="29"/>
    </row>
    <row r="205" ht="77.25" customHeight="1">
      <c r="A205" s="28"/>
      <c r="B205" s="29"/>
      <c r="C205" s="28"/>
      <c r="D205" s="29"/>
      <c r="G205" s="29"/>
      <c r="H205" s="29"/>
      <c r="I205" s="29"/>
      <c r="J205" s="29"/>
      <c r="K205" s="29"/>
      <c r="L205" s="29"/>
      <c r="M205" s="29"/>
      <c r="N205" s="29"/>
    </row>
    <row r="206" ht="77.25" customHeight="1">
      <c r="A206" s="28"/>
      <c r="B206" s="29"/>
      <c r="C206" s="28"/>
      <c r="D206" s="29"/>
      <c r="G206" s="29"/>
      <c r="H206" s="29"/>
      <c r="I206" s="29"/>
      <c r="J206" s="29"/>
      <c r="K206" s="29"/>
      <c r="L206" s="29"/>
      <c r="M206" s="29"/>
      <c r="N206" s="29"/>
    </row>
    <row r="207" ht="77.25" customHeight="1">
      <c r="A207" s="28"/>
      <c r="B207" s="29"/>
      <c r="C207" s="28"/>
      <c r="D207" s="29"/>
      <c r="G207" s="29"/>
      <c r="H207" s="29"/>
      <c r="I207" s="29"/>
      <c r="J207" s="29"/>
      <c r="K207" s="29"/>
      <c r="L207" s="29"/>
      <c r="M207" s="29"/>
      <c r="N207" s="29"/>
    </row>
    <row r="208" ht="77.25" customHeight="1">
      <c r="A208" s="28"/>
      <c r="B208" s="29"/>
      <c r="C208" s="28"/>
      <c r="D208" s="29"/>
      <c r="G208" s="29"/>
      <c r="H208" s="29"/>
      <c r="I208" s="29"/>
      <c r="J208" s="29"/>
      <c r="K208" s="29"/>
      <c r="L208" s="29"/>
      <c r="M208" s="29"/>
      <c r="N208" s="29"/>
    </row>
    <row r="209" ht="77.25" customHeight="1">
      <c r="A209" s="28"/>
      <c r="B209" s="29"/>
      <c r="C209" s="28"/>
      <c r="D209" s="29"/>
      <c r="G209" s="29"/>
      <c r="H209" s="29"/>
      <c r="I209" s="29"/>
      <c r="J209" s="29"/>
      <c r="K209" s="29"/>
      <c r="L209" s="29"/>
      <c r="M209" s="29"/>
      <c r="N209" s="29"/>
    </row>
    <row r="210" ht="77.25" customHeight="1">
      <c r="A210" s="28"/>
      <c r="B210" s="29"/>
      <c r="C210" s="28"/>
      <c r="D210" s="29"/>
      <c r="G210" s="29"/>
      <c r="H210" s="29"/>
      <c r="I210" s="29"/>
      <c r="J210" s="29"/>
      <c r="K210" s="29"/>
      <c r="L210" s="29"/>
      <c r="M210" s="29"/>
      <c r="N210" s="29"/>
    </row>
    <row r="211" ht="77.25" customHeight="1">
      <c r="A211" s="28"/>
      <c r="B211" s="29"/>
      <c r="C211" s="28"/>
      <c r="D211" s="29"/>
      <c r="G211" s="29"/>
      <c r="H211" s="29"/>
      <c r="I211" s="29"/>
      <c r="J211" s="29"/>
      <c r="K211" s="29"/>
      <c r="L211" s="29"/>
      <c r="M211" s="29"/>
      <c r="N211" s="29"/>
    </row>
    <row r="212" ht="77.25" customHeight="1">
      <c r="A212" s="28"/>
      <c r="B212" s="29"/>
      <c r="C212" s="28"/>
      <c r="D212" s="29"/>
      <c r="G212" s="29"/>
      <c r="H212" s="29"/>
      <c r="I212" s="29"/>
      <c r="J212" s="29"/>
      <c r="K212" s="29"/>
      <c r="L212" s="29"/>
      <c r="M212" s="29"/>
      <c r="N212" s="29"/>
    </row>
    <row r="213" ht="77.25" customHeight="1">
      <c r="A213" s="28"/>
      <c r="B213" s="29"/>
      <c r="C213" s="28"/>
      <c r="D213" s="29"/>
      <c r="G213" s="29"/>
      <c r="H213" s="29"/>
      <c r="I213" s="29"/>
      <c r="J213" s="29"/>
      <c r="K213" s="29"/>
      <c r="L213" s="29"/>
      <c r="M213" s="29"/>
      <c r="N213" s="29"/>
    </row>
    <row r="214" ht="77.25" customHeight="1">
      <c r="A214" s="28"/>
      <c r="B214" s="29"/>
      <c r="C214" s="28"/>
      <c r="D214" s="29"/>
      <c r="G214" s="29"/>
      <c r="H214" s="29"/>
      <c r="I214" s="29"/>
      <c r="J214" s="29"/>
      <c r="K214" s="29"/>
      <c r="L214" s="29"/>
      <c r="M214" s="29"/>
      <c r="N214" s="29"/>
    </row>
    <row r="215" ht="77.25" customHeight="1">
      <c r="A215" s="28"/>
      <c r="B215" s="29"/>
      <c r="C215" s="28"/>
      <c r="D215" s="29"/>
      <c r="G215" s="29"/>
      <c r="H215" s="29"/>
      <c r="I215" s="29"/>
      <c r="J215" s="29"/>
      <c r="K215" s="29"/>
      <c r="L215" s="29"/>
      <c r="M215" s="29"/>
      <c r="N215" s="29"/>
    </row>
    <row r="216" ht="77.25" customHeight="1">
      <c r="A216" s="28"/>
      <c r="B216" s="29"/>
      <c r="C216" s="28"/>
      <c r="D216" s="29"/>
      <c r="G216" s="29"/>
      <c r="H216" s="29"/>
      <c r="I216" s="29"/>
      <c r="J216" s="29"/>
      <c r="K216" s="29"/>
      <c r="L216" s="29"/>
      <c r="M216" s="29"/>
      <c r="N216" s="29"/>
    </row>
    <row r="217" ht="77.25" customHeight="1">
      <c r="A217" s="28"/>
      <c r="B217" s="29"/>
      <c r="C217" s="28"/>
      <c r="D217" s="29"/>
      <c r="G217" s="29"/>
      <c r="H217" s="29"/>
      <c r="I217" s="29"/>
      <c r="J217" s="29"/>
      <c r="K217" s="29"/>
      <c r="L217" s="29"/>
      <c r="M217" s="29"/>
      <c r="N217" s="29"/>
    </row>
    <row r="218" ht="77.25" customHeight="1">
      <c r="A218" s="28"/>
      <c r="B218" s="29"/>
      <c r="C218" s="28"/>
      <c r="D218" s="29"/>
      <c r="G218" s="29"/>
      <c r="H218" s="29"/>
      <c r="I218" s="29"/>
      <c r="J218" s="29"/>
      <c r="K218" s="29"/>
      <c r="L218" s="29"/>
      <c r="M218" s="29"/>
      <c r="N218" s="29"/>
    </row>
    <row r="219" ht="77.25" customHeight="1">
      <c r="A219" s="28"/>
      <c r="B219" s="29"/>
      <c r="C219" s="28"/>
      <c r="D219" s="29"/>
      <c r="G219" s="29"/>
      <c r="H219" s="29"/>
      <c r="I219" s="29"/>
      <c r="J219" s="29"/>
      <c r="K219" s="29"/>
      <c r="L219" s="29"/>
      <c r="M219" s="29"/>
      <c r="N219" s="29"/>
    </row>
    <row r="220" ht="77.25" customHeight="1">
      <c r="A220" s="28"/>
      <c r="B220" s="29"/>
      <c r="C220" s="28"/>
      <c r="D220" s="29"/>
      <c r="G220" s="29"/>
      <c r="H220" s="29"/>
      <c r="I220" s="29"/>
      <c r="J220" s="29"/>
      <c r="K220" s="29"/>
      <c r="L220" s="29"/>
      <c r="M220" s="29"/>
      <c r="N220" s="29"/>
    </row>
    <row r="221" ht="77.25" customHeight="1">
      <c r="A221" s="28"/>
      <c r="B221" s="29"/>
      <c r="C221" s="28"/>
      <c r="D221" s="29"/>
      <c r="G221" s="29"/>
      <c r="H221" s="29"/>
      <c r="I221" s="29"/>
      <c r="J221" s="29"/>
      <c r="K221" s="29"/>
      <c r="L221" s="29"/>
      <c r="M221" s="29"/>
      <c r="N221" s="29"/>
    </row>
    <row r="222" ht="77.25" customHeight="1">
      <c r="A222" s="28"/>
      <c r="B222" s="29"/>
      <c r="C222" s="28"/>
      <c r="D222" s="29"/>
      <c r="G222" s="29"/>
      <c r="H222" s="29"/>
      <c r="I222" s="29"/>
      <c r="J222" s="29"/>
      <c r="K222" s="29"/>
      <c r="L222" s="29"/>
      <c r="M222" s="29"/>
      <c r="N222" s="29"/>
    </row>
    <row r="223" ht="77.25" customHeight="1">
      <c r="A223" s="28"/>
      <c r="B223" s="29"/>
      <c r="C223" s="28"/>
      <c r="D223" s="29"/>
      <c r="G223" s="29"/>
      <c r="H223" s="29"/>
      <c r="I223" s="29"/>
      <c r="J223" s="29"/>
      <c r="K223" s="29"/>
      <c r="L223" s="29"/>
      <c r="M223" s="29"/>
      <c r="N223" s="29"/>
    </row>
    <row r="224" ht="77.25" customHeight="1">
      <c r="A224" s="28"/>
      <c r="B224" s="29"/>
      <c r="C224" s="28"/>
      <c r="D224" s="29"/>
      <c r="G224" s="29"/>
      <c r="H224" s="29"/>
      <c r="I224" s="29"/>
      <c r="J224" s="29"/>
      <c r="K224" s="29"/>
      <c r="L224" s="29"/>
      <c r="M224" s="29"/>
      <c r="N224" s="29"/>
    </row>
    <row r="225" ht="77.25" customHeight="1">
      <c r="A225" s="28"/>
      <c r="B225" s="29"/>
      <c r="C225" s="28"/>
      <c r="D225" s="29"/>
      <c r="G225" s="29"/>
      <c r="H225" s="29"/>
      <c r="I225" s="29"/>
      <c r="J225" s="29"/>
      <c r="K225" s="29"/>
      <c r="L225" s="29"/>
      <c r="M225" s="29"/>
      <c r="N225" s="29"/>
    </row>
    <row r="226" ht="77.25" customHeight="1">
      <c r="A226" s="28"/>
      <c r="B226" s="29"/>
      <c r="C226" s="28"/>
      <c r="D226" s="29"/>
      <c r="G226" s="29"/>
      <c r="H226" s="29"/>
      <c r="I226" s="29"/>
      <c r="J226" s="29"/>
      <c r="K226" s="29"/>
      <c r="L226" s="29"/>
      <c r="M226" s="29"/>
      <c r="N226" s="29"/>
    </row>
    <row r="227" ht="77.25" customHeight="1">
      <c r="A227" s="28"/>
      <c r="B227" s="29"/>
      <c r="C227" s="28"/>
      <c r="D227" s="29"/>
      <c r="G227" s="29"/>
      <c r="H227" s="29"/>
      <c r="I227" s="29"/>
      <c r="J227" s="29"/>
      <c r="K227" s="29"/>
      <c r="L227" s="29"/>
      <c r="M227" s="29"/>
      <c r="N227" s="29"/>
    </row>
    <row r="228" ht="77.25" customHeight="1">
      <c r="A228" s="28"/>
      <c r="B228" s="29"/>
      <c r="C228" s="28"/>
      <c r="D228" s="29"/>
      <c r="G228" s="29"/>
      <c r="H228" s="29"/>
      <c r="I228" s="29"/>
      <c r="J228" s="29"/>
      <c r="K228" s="29"/>
      <c r="L228" s="29"/>
      <c r="M228" s="29"/>
      <c r="N228" s="29"/>
    </row>
    <row r="229" ht="77.25" customHeight="1">
      <c r="A229" s="28"/>
      <c r="B229" s="29"/>
      <c r="C229" s="28"/>
      <c r="D229" s="29"/>
      <c r="G229" s="29"/>
      <c r="H229" s="29"/>
      <c r="I229" s="29"/>
      <c r="J229" s="29"/>
      <c r="K229" s="29"/>
      <c r="L229" s="29"/>
      <c r="M229" s="29"/>
      <c r="N229" s="29"/>
    </row>
    <row r="230" ht="77.25" customHeight="1">
      <c r="A230" s="28"/>
      <c r="B230" s="29"/>
      <c r="C230" s="28"/>
      <c r="D230" s="29"/>
      <c r="G230" s="29"/>
      <c r="H230" s="29"/>
      <c r="I230" s="29"/>
      <c r="J230" s="29"/>
      <c r="K230" s="29"/>
      <c r="L230" s="29"/>
      <c r="M230" s="29"/>
      <c r="N230" s="29"/>
    </row>
    <row r="231" ht="77.25" customHeight="1">
      <c r="A231" s="28"/>
      <c r="B231" s="29"/>
      <c r="C231" s="28"/>
      <c r="D231" s="29"/>
      <c r="G231" s="29"/>
      <c r="H231" s="29"/>
      <c r="I231" s="29"/>
      <c r="J231" s="29"/>
      <c r="K231" s="29"/>
      <c r="L231" s="29"/>
      <c r="M231" s="29"/>
      <c r="N231" s="29"/>
    </row>
    <row r="232" ht="77.25" customHeight="1">
      <c r="A232" s="28"/>
      <c r="B232" s="29"/>
      <c r="C232" s="28"/>
      <c r="D232" s="29"/>
      <c r="G232" s="29"/>
      <c r="H232" s="29"/>
      <c r="I232" s="29"/>
      <c r="J232" s="29"/>
      <c r="K232" s="29"/>
      <c r="L232" s="29"/>
      <c r="M232" s="29"/>
      <c r="N232" s="29"/>
    </row>
    <row r="233" ht="77.25" customHeight="1">
      <c r="A233" s="28"/>
      <c r="B233" s="29"/>
      <c r="C233" s="28"/>
      <c r="D233" s="29"/>
      <c r="G233" s="29"/>
      <c r="H233" s="29"/>
      <c r="I233" s="29"/>
      <c r="J233" s="29"/>
      <c r="K233" s="29"/>
      <c r="L233" s="29"/>
      <c r="M233" s="29"/>
      <c r="N233" s="29"/>
    </row>
    <row r="234" ht="77.25" customHeight="1">
      <c r="A234" s="28"/>
      <c r="B234" s="29"/>
      <c r="C234" s="28"/>
      <c r="D234" s="29"/>
      <c r="G234" s="29"/>
      <c r="H234" s="29"/>
      <c r="I234" s="29"/>
      <c r="J234" s="29"/>
      <c r="K234" s="29"/>
      <c r="L234" s="29"/>
      <c r="M234" s="29"/>
      <c r="N234" s="29"/>
    </row>
    <row r="235" ht="77.25" customHeight="1">
      <c r="A235" s="28"/>
      <c r="B235" s="29"/>
      <c r="C235" s="28"/>
      <c r="D235" s="29"/>
      <c r="G235" s="29"/>
      <c r="H235" s="29"/>
      <c r="I235" s="29"/>
      <c r="J235" s="29"/>
      <c r="K235" s="29"/>
      <c r="L235" s="29"/>
      <c r="M235" s="29"/>
      <c r="N235" s="29"/>
    </row>
    <row r="236" ht="77.25" customHeight="1">
      <c r="A236" s="28"/>
      <c r="B236" s="29"/>
      <c r="C236" s="28"/>
      <c r="D236" s="29"/>
      <c r="G236" s="29"/>
      <c r="H236" s="29"/>
      <c r="I236" s="29"/>
      <c r="J236" s="29"/>
      <c r="K236" s="29"/>
      <c r="L236" s="29"/>
      <c r="M236" s="29"/>
      <c r="N236" s="29"/>
    </row>
    <row r="237" ht="77.25" customHeight="1">
      <c r="A237" s="28"/>
      <c r="B237" s="29"/>
      <c r="C237" s="28"/>
      <c r="D237" s="29"/>
      <c r="G237" s="29"/>
      <c r="H237" s="29"/>
      <c r="I237" s="29"/>
      <c r="J237" s="29"/>
      <c r="K237" s="29"/>
      <c r="L237" s="29"/>
      <c r="M237" s="29"/>
      <c r="N237" s="29"/>
    </row>
    <row r="238" ht="77.25" customHeight="1">
      <c r="A238" s="28"/>
      <c r="B238" s="29"/>
      <c r="C238" s="28"/>
      <c r="D238" s="29"/>
      <c r="G238" s="29"/>
      <c r="H238" s="29"/>
      <c r="I238" s="29"/>
      <c r="J238" s="29"/>
      <c r="K238" s="29"/>
      <c r="L238" s="29"/>
      <c r="M238" s="29"/>
      <c r="N238" s="29"/>
    </row>
    <row r="239" ht="77.25" customHeight="1">
      <c r="A239" s="28"/>
      <c r="B239" s="29"/>
      <c r="C239" s="28"/>
      <c r="D239" s="29"/>
      <c r="G239" s="29"/>
      <c r="H239" s="29"/>
      <c r="I239" s="29"/>
      <c r="J239" s="29"/>
      <c r="K239" s="29"/>
      <c r="L239" s="29"/>
      <c r="M239" s="29"/>
      <c r="N239" s="29"/>
    </row>
    <row r="240" ht="77.25" customHeight="1">
      <c r="A240" s="28"/>
      <c r="B240" s="29"/>
      <c r="C240" s="28"/>
      <c r="D240" s="29"/>
      <c r="G240" s="29"/>
      <c r="H240" s="29"/>
      <c r="I240" s="29"/>
      <c r="J240" s="29"/>
      <c r="K240" s="29"/>
      <c r="L240" s="29"/>
      <c r="M240" s="29"/>
      <c r="N240" s="29"/>
    </row>
    <row r="241" ht="77.25" customHeight="1">
      <c r="A241" s="28"/>
      <c r="B241" s="29"/>
      <c r="C241" s="28"/>
      <c r="D241" s="29"/>
      <c r="G241" s="29"/>
      <c r="H241" s="29"/>
      <c r="I241" s="29"/>
      <c r="J241" s="29"/>
      <c r="K241" s="29"/>
      <c r="L241" s="29"/>
      <c r="M241" s="29"/>
      <c r="N241" s="29"/>
    </row>
    <row r="242" ht="77.25" customHeight="1">
      <c r="A242" s="28"/>
      <c r="B242" s="29"/>
      <c r="C242" s="28"/>
      <c r="D242" s="29"/>
      <c r="G242" s="29"/>
      <c r="H242" s="29"/>
      <c r="I242" s="29"/>
      <c r="J242" s="29"/>
      <c r="K242" s="29"/>
      <c r="L242" s="29"/>
      <c r="M242" s="29"/>
      <c r="N242" s="29"/>
    </row>
    <row r="243" ht="77.25" customHeight="1">
      <c r="A243" s="28"/>
      <c r="B243" s="29"/>
      <c r="C243" s="28"/>
      <c r="D243" s="29"/>
      <c r="G243" s="29"/>
      <c r="H243" s="29"/>
      <c r="I243" s="29"/>
      <c r="J243" s="29"/>
      <c r="K243" s="29"/>
      <c r="L243" s="29"/>
      <c r="M243" s="29"/>
      <c r="N243" s="29"/>
    </row>
    <row r="244" ht="77.25" customHeight="1">
      <c r="A244" s="28"/>
      <c r="B244" s="29"/>
      <c r="C244" s="28"/>
      <c r="D244" s="29"/>
      <c r="G244" s="29"/>
      <c r="H244" s="29"/>
      <c r="I244" s="29"/>
      <c r="J244" s="29"/>
      <c r="K244" s="29"/>
      <c r="L244" s="29"/>
      <c r="M244" s="29"/>
      <c r="N244" s="29"/>
    </row>
    <row r="245" ht="77.25" customHeight="1">
      <c r="A245" s="28"/>
      <c r="B245" s="29"/>
      <c r="C245" s="28"/>
      <c r="D245" s="29"/>
      <c r="G245" s="29"/>
      <c r="H245" s="29"/>
      <c r="I245" s="29"/>
      <c r="J245" s="29"/>
      <c r="K245" s="29"/>
      <c r="L245" s="29"/>
      <c r="M245" s="29"/>
      <c r="N245" s="29"/>
    </row>
    <row r="246" ht="77.25" customHeight="1">
      <c r="A246" s="28"/>
      <c r="B246" s="29"/>
      <c r="C246" s="28"/>
      <c r="D246" s="29"/>
      <c r="G246" s="29"/>
      <c r="H246" s="29"/>
      <c r="I246" s="29"/>
      <c r="J246" s="29"/>
      <c r="K246" s="29"/>
      <c r="L246" s="29"/>
      <c r="M246" s="29"/>
      <c r="N246" s="29"/>
    </row>
    <row r="247" ht="77.25" customHeight="1">
      <c r="A247" s="28"/>
      <c r="B247" s="29"/>
      <c r="C247" s="28"/>
      <c r="D247" s="29"/>
      <c r="G247" s="29"/>
      <c r="H247" s="29"/>
      <c r="I247" s="29"/>
      <c r="J247" s="29"/>
      <c r="K247" s="29"/>
      <c r="L247" s="29"/>
      <c r="M247" s="29"/>
      <c r="N247" s="29"/>
    </row>
    <row r="248" ht="77.25" customHeight="1">
      <c r="A248" s="28"/>
      <c r="B248" s="29"/>
      <c r="C248" s="28"/>
      <c r="D248" s="29"/>
      <c r="G248" s="29"/>
      <c r="H248" s="29"/>
      <c r="I248" s="29"/>
      <c r="J248" s="29"/>
      <c r="K248" s="29"/>
      <c r="L248" s="29"/>
      <c r="M248" s="29"/>
      <c r="N248" s="29"/>
    </row>
    <row r="249" ht="77.25" customHeight="1">
      <c r="A249" s="28"/>
      <c r="B249" s="29"/>
      <c r="C249" s="28"/>
      <c r="D249" s="29"/>
      <c r="G249" s="29"/>
      <c r="H249" s="29"/>
      <c r="I249" s="29"/>
      <c r="J249" s="29"/>
      <c r="K249" s="29"/>
      <c r="L249" s="29"/>
      <c r="M249" s="29"/>
      <c r="N249" s="29"/>
    </row>
    <row r="250" ht="77.25" customHeight="1">
      <c r="A250" s="28"/>
      <c r="B250" s="29"/>
      <c r="C250" s="28"/>
      <c r="D250" s="29"/>
      <c r="G250" s="29"/>
      <c r="H250" s="29"/>
      <c r="I250" s="29"/>
      <c r="J250" s="29"/>
      <c r="K250" s="29"/>
      <c r="L250" s="29"/>
      <c r="M250" s="29"/>
      <c r="N250" s="29"/>
    </row>
    <row r="251" ht="77.25" customHeight="1">
      <c r="A251" s="28"/>
      <c r="B251" s="29"/>
      <c r="C251" s="28"/>
      <c r="D251" s="29"/>
      <c r="G251" s="29"/>
      <c r="H251" s="29"/>
      <c r="I251" s="29"/>
      <c r="J251" s="29"/>
      <c r="K251" s="29"/>
      <c r="L251" s="29"/>
      <c r="M251" s="29"/>
      <c r="N251" s="29"/>
    </row>
    <row r="252" ht="77.25" customHeight="1">
      <c r="A252" s="28"/>
      <c r="B252" s="29"/>
      <c r="C252" s="28"/>
      <c r="D252" s="29"/>
      <c r="G252" s="29"/>
      <c r="H252" s="29"/>
      <c r="I252" s="29"/>
      <c r="J252" s="29"/>
      <c r="K252" s="29"/>
      <c r="L252" s="29"/>
      <c r="M252" s="29"/>
      <c r="N252" s="29"/>
    </row>
    <row r="253" ht="77.25" customHeight="1">
      <c r="A253" s="28"/>
      <c r="B253" s="29"/>
      <c r="C253" s="28"/>
      <c r="D253" s="29"/>
      <c r="G253" s="29"/>
      <c r="H253" s="29"/>
      <c r="I253" s="29"/>
      <c r="J253" s="29"/>
      <c r="K253" s="29"/>
      <c r="L253" s="29"/>
      <c r="M253" s="29"/>
      <c r="N253" s="29"/>
    </row>
    <row r="254" ht="77.25" customHeight="1">
      <c r="A254" s="28"/>
      <c r="B254" s="29"/>
      <c r="C254" s="28"/>
      <c r="D254" s="29"/>
      <c r="G254" s="29"/>
      <c r="H254" s="29"/>
      <c r="I254" s="29"/>
      <c r="J254" s="29"/>
      <c r="K254" s="29"/>
      <c r="L254" s="29"/>
      <c r="M254" s="29"/>
      <c r="N254" s="29"/>
    </row>
    <row r="255" ht="77.25" customHeight="1">
      <c r="A255" s="28"/>
      <c r="B255" s="29"/>
      <c r="C255" s="28"/>
      <c r="D255" s="29"/>
      <c r="G255" s="29"/>
      <c r="H255" s="29"/>
      <c r="I255" s="29"/>
      <c r="J255" s="29"/>
      <c r="K255" s="29"/>
      <c r="L255" s="29"/>
      <c r="M255" s="29"/>
      <c r="N255" s="29"/>
    </row>
    <row r="256" ht="77.25" customHeight="1">
      <c r="A256" s="28"/>
      <c r="B256" s="29"/>
      <c r="C256" s="28"/>
      <c r="D256" s="29"/>
      <c r="G256" s="29"/>
      <c r="H256" s="29"/>
      <c r="I256" s="29"/>
      <c r="J256" s="29"/>
      <c r="K256" s="29"/>
      <c r="L256" s="29"/>
      <c r="M256" s="29"/>
      <c r="N256" s="29"/>
    </row>
    <row r="257" ht="77.25" customHeight="1">
      <c r="A257" s="28"/>
      <c r="B257" s="29"/>
      <c r="C257" s="28"/>
      <c r="D257" s="29"/>
      <c r="G257" s="29"/>
      <c r="H257" s="29"/>
      <c r="I257" s="29"/>
      <c r="J257" s="29"/>
      <c r="K257" s="29"/>
      <c r="L257" s="29"/>
      <c r="M257" s="29"/>
      <c r="N257" s="29"/>
    </row>
    <row r="258" ht="77.25" customHeight="1">
      <c r="A258" s="28"/>
      <c r="B258" s="29"/>
      <c r="C258" s="28"/>
      <c r="D258" s="29"/>
      <c r="G258" s="29"/>
      <c r="H258" s="29"/>
      <c r="I258" s="29"/>
      <c r="J258" s="29"/>
      <c r="K258" s="29"/>
      <c r="L258" s="29"/>
      <c r="M258" s="29"/>
      <c r="N258" s="29"/>
    </row>
    <row r="259" ht="77.25" customHeight="1">
      <c r="A259" s="28"/>
      <c r="B259" s="29"/>
      <c r="C259" s="28"/>
      <c r="D259" s="29"/>
      <c r="G259" s="29"/>
      <c r="H259" s="29"/>
      <c r="I259" s="29"/>
      <c r="J259" s="29"/>
      <c r="K259" s="29"/>
      <c r="L259" s="29"/>
      <c r="M259" s="29"/>
      <c r="N259" s="29"/>
    </row>
    <row r="260" ht="77.25" customHeight="1">
      <c r="A260" s="28"/>
      <c r="B260" s="29"/>
      <c r="C260" s="28"/>
      <c r="D260" s="29"/>
      <c r="G260" s="29"/>
      <c r="H260" s="29"/>
      <c r="I260" s="29"/>
      <c r="J260" s="29"/>
      <c r="K260" s="29"/>
      <c r="L260" s="29"/>
      <c r="M260" s="29"/>
      <c r="N260" s="29"/>
    </row>
    <row r="261" ht="77.25" customHeight="1">
      <c r="A261" s="28"/>
      <c r="B261" s="29"/>
      <c r="C261" s="28"/>
      <c r="D261" s="29"/>
      <c r="G261" s="29"/>
      <c r="H261" s="29"/>
      <c r="I261" s="29"/>
      <c r="J261" s="29"/>
      <c r="K261" s="29"/>
      <c r="L261" s="29"/>
      <c r="M261" s="29"/>
      <c r="N261" s="29"/>
    </row>
    <row r="262" ht="77.25" customHeight="1">
      <c r="A262" s="28"/>
      <c r="B262" s="29"/>
      <c r="C262" s="28"/>
      <c r="D262" s="29"/>
      <c r="G262" s="29"/>
      <c r="H262" s="29"/>
      <c r="I262" s="29"/>
      <c r="J262" s="29"/>
      <c r="K262" s="29"/>
      <c r="L262" s="29"/>
      <c r="M262" s="29"/>
      <c r="N262" s="29"/>
    </row>
    <row r="263" ht="77.25" customHeight="1">
      <c r="A263" s="28"/>
      <c r="B263" s="29"/>
      <c r="C263" s="28"/>
      <c r="D263" s="29"/>
      <c r="G263" s="29"/>
      <c r="H263" s="29"/>
      <c r="I263" s="29"/>
      <c r="J263" s="29"/>
      <c r="K263" s="29"/>
      <c r="L263" s="29"/>
      <c r="M263" s="29"/>
      <c r="N263" s="29"/>
    </row>
    <row r="264" ht="77.25" customHeight="1">
      <c r="A264" s="28"/>
      <c r="B264" s="29"/>
      <c r="C264" s="28"/>
      <c r="D264" s="29"/>
      <c r="G264" s="29"/>
      <c r="H264" s="29"/>
      <c r="I264" s="29"/>
      <c r="J264" s="29"/>
      <c r="K264" s="29"/>
      <c r="L264" s="29"/>
      <c r="M264" s="29"/>
      <c r="N264" s="29"/>
    </row>
    <row r="265" ht="77.25" customHeight="1">
      <c r="A265" s="28"/>
      <c r="B265" s="29"/>
      <c r="C265" s="28"/>
      <c r="D265" s="29"/>
      <c r="G265" s="29"/>
      <c r="H265" s="29"/>
      <c r="I265" s="29"/>
      <c r="J265" s="29"/>
      <c r="K265" s="29"/>
      <c r="L265" s="29"/>
      <c r="M265" s="29"/>
      <c r="N265" s="29"/>
    </row>
    <row r="266" ht="77.25" customHeight="1">
      <c r="A266" s="28"/>
      <c r="B266" s="29"/>
      <c r="C266" s="28"/>
      <c r="D266" s="29"/>
      <c r="G266" s="29"/>
      <c r="H266" s="29"/>
      <c r="I266" s="29"/>
      <c r="J266" s="29"/>
      <c r="K266" s="29"/>
      <c r="L266" s="29"/>
      <c r="M266" s="29"/>
      <c r="N266" s="29"/>
    </row>
    <row r="267" ht="77.25" customHeight="1">
      <c r="A267" s="28"/>
      <c r="B267" s="29"/>
      <c r="C267" s="28"/>
      <c r="D267" s="29"/>
      <c r="G267" s="29"/>
      <c r="H267" s="29"/>
      <c r="I267" s="29"/>
      <c r="J267" s="29"/>
      <c r="K267" s="29"/>
      <c r="L267" s="29"/>
      <c r="M267" s="29"/>
      <c r="N267" s="29"/>
    </row>
    <row r="268" ht="77.25" customHeight="1">
      <c r="A268" s="28"/>
      <c r="B268" s="29"/>
      <c r="C268" s="28"/>
      <c r="D268" s="29"/>
      <c r="G268" s="29"/>
      <c r="H268" s="29"/>
      <c r="I268" s="29"/>
      <c r="J268" s="29"/>
      <c r="K268" s="29"/>
      <c r="L268" s="29"/>
      <c r="M268" s="29"/>
      <c r="N268" s="29"/>
    </row>
    <row r="269" ht="77.25" customHeight="1">
      <c r="A269" s="28"/>
      <c r="B269" s="29"/>
      <c r="C269" s="28"/>
      <c r="D269" s="29"/>
      <c r="G269" s="29"/>
      <c r="H269" s="29"/>
      <c r="I269" s="29"/>
      <c r="J269" s="29"/>
      <c r="K269" s="29"/>
      <c r="L269" s="29"/>
      <c r="M269" s="29"/>
      <c r="N269" s="29"/>
    </row>
    <row r="270" ht="77.25" customHeight="1">
      <c r="A270" s="28"/>
      <c r="B270" s="29"/>
      <c r="C270" s="28"/>
      <c r="D270" s="29"/>
      <c r="G270" s="29"/>
      <c r="H270" s="29"/>
      <c r="I270" s="29"/>
      <c r="J270" s="29"/>
      <c r="K270" s="29"/>
      <c r="L270" s="29"/>
      <c r="M270" s="29"/>
      <c r="N270" s="29"/>
    </row>
    <row r="271" ht="77.25" customHeight="1">
      <c r="A271" s="28"/>
      <c r="B271" s="29"/>
      <c r="C271" s="28"/>
      <c r="D271" s="29"/>
      <c r="G271" s="29"/>
      <c r="H271" s="29"/>
      <c r="I271" s="29"/>
      <c r="J271" s="29"/>
      <c r="K271" s="29"/>
      <c r="L271" s="29"/>
      <c r="M271" s="29"/>
      <c r="N271" s="29"/>
    </row>
    <row r="272" ht="77.25" customHeight="1">
      <c r="A272" s="28"/>
      <c r="B272" s="29"/>
      <c r="C272" s="28"/>
      <c r="D272" s="29"/>
      <c r="G272" s="29"/>
      <c r="H272" s="29"/>
      <c r="I272" s="29"/>
      <c r="J272" s="29"/>
      <c r="K272" s="29"/>
      <c r="L272" s="29"/>
      <c r="M272" s="29"/>
      <c r="N272" s="29"/>
    </row>
    <row r="273" ht="77.25" customHeight="1">
      <c r="A273" s="28"/>
      <c r="B273" s="29"/>
      <c r="C273" s="28"/>
      <c r="D273" s="29"/>
      <c r="G273" s="29"/>
      <c r="H273" s="29"/>
      <c r="I273" s="29"/>
      <c r="J273" s="29"/>
      <c r="K273" s="29"/>
      <c r="L273" s="29"/>
      <c r="M273" s="29"/>
      <c r="N273" s="29"/>
    </row>
    <row r="274" ht="77.25" customHeight="1">
      <c r="A274" s="28"/>
      <c r="B274" s="29"/>
      <c r="C274" s="28"/>
      <c r="D274" s="29"/>
      <c r="G274" s="29"/>
      <c r="H274" s="29"/>
      <c r="I274" s="29"/>
      <c r="J274" s="29"/>
      <c r="K274" s="29"/>
      <c r="L274" s="29"/>
      <c r="M274" s="29"/>
      <c r="N274" s="29"/>
    </row>
    <row r="275" ht="77.25" customHeight="1">
      <c r="A275" s="28"/>
      <c r="B275" s="29"/>
      <c r="C275" s="28"/>
      <c r="D275" s="29"/>
      <c r="G275" s="29"/>
      <c r="H275" s="29"/>
      <c r="I275" s="29"/>
      <c r="J275" s="29"/>
      <c r="K275" s="29"/>
      <c r="L275" s="29"/>
      <c r="M275" s="29"/>
      <c r="N275" s="29"/>
    </row>
    <row r="276" ht="77.25" customHeight="1">
      <c r="A276" s="28"/>
      <c r="B276" s="29"/>
      <c r="C276" s="28"/>
      <c r="D276" s="29"/>
      <c r="G276" s="29"/>
      <c r="H276" s="29"/>
      <c r="I276" s="29"/>
      <c r="J276" s="29"/>
      <c r="K276" s="29"/>
      <c r="L276" s="29"/>
      <c r="M276" s="29"/>
      <c r="N276" s="29"/>
    </row>
    <row r="277" ht="77.25" customHeight="1">
      <c r="A277" s="28"/>
      <c r="B277" s="29"/>
      <c r="C277" s="28"/>
      <c r="D277" s="29"/>
      <c r="G277" s="29"/>
      <c r="H277" s="29"/>
      <c r="I277" s="29"/>
      <c r="J277" s="29"/>
      <c r="K277" s="29"/>
      <c r="L277" s="29"/>
      <c r="M277" s="29"/>
      <c r="N277" s="29"/>
    </row>
    <row r="278" ht="77.25" customHeight="1">
      <c r="A278" s="28"/>
      <c r="B278" s="29"/>
      <c r="C278" s="28"/>
      <c r="D278" s="29"/>
      <c r="G278" s="29"/>
      <c r="H278" s="29"/>
      <c r="I278" s="29"/>
      <c r="J278" s="29"/>
      <c r="K278" s="29"/>
      <c r="L278" s="29"/>
      <c r="M278" s="29"/>
      <c r="N278" s="29"/>
    </row>
    <row r="279" ht="77.25" customHeight="1">
      <c r="A279" s="28"/>
      <c r="B279" s="29"/>
      <c r="C279" s="28"/>
      <c r="D279" s="29"/>
      <c r="G279" s="29"/>
      <c r="H279" s="29"/>
      <c r="I279" s="29"/>
      <c r="J279" s="29"/>
      <c r="K279" s="29"/>
      <c r="L279" s="29"/>
      <c r="M279" s="29"/>
      <c r="N279" s="29"/>
    </row>
    <row r="280" ht="77.25" customHeight="1">
      <c r="A280" s="28"/>
      <c r="B280" s="29"/>
      <c r="C280" s="28"/>
      <c r="D280" s="29"/>
      <c r="G280" s="29"/>
      <c r="H280" s="29"/>
      <c r="I280" s="29"/>
      <c r="J280" s="29"/>
      <c r="K280" s="29"/>
      <c r="L280" s="29"/>
      <c r="M280" s="29"/>
      <c r="N280" s="29"/>
    </row>
    <row r="281" ht="77.25" customHeight="1">
      <c r="A281" s="28"/>
      <c r="B281" s="29"/>
      <c r="C281" s="28"/>
      <c r="D281" s="29"/>
      <c r="G281" s="29"/>
      <c r="H281" s="29"/>
      <c r="I281" s="29"/>
      <c r="J281" s="29"/>
      <c r="K281" s="29"/>
      <c r="L281" s="29"/>
      <c r="M281" s="29"/>
      <c r="N281" s="29"/>
    </row>
    <row r="282" ht="77.25" customHeight="1">
      <c r="A282" s="28"/>
      <c r="B282" s="29"/>
      <c r="C282" s="28"/>
      <c r="D282" s="29"/>
      <c r="G282" s="29"/>
      <c r="H282" s="29"/>
      <c r="I282" s="29"/>
      <c r="J282" s="29"/>
      <c r="K282" s="29"/>
      <c r="L282" s="29"/>
      <c r="M282" s="29"/>
      <c r="N282" s="29"/>
    </row>
    <row r="283" ht="77.25" customHeight="1">
      <c r="A283" s="28"/>
      <c r="B283" s="29"/>
      <c r="C283" s="28"/>
      <c r="D283" s="29"/>
      <c r="G283" s="29"/>
      <c r="H283" s="29"/>
      <c r="I283" s="29"/>
      <c r="J283" s="29"/>
      <c r="K283" s="29"/>
      <c r="L283" s="29"/>
      <c r="M283" s="29"/>
      <c r="N283" s="29"/>
    </row>
    <row r="284" ht="77.25" customHeight="1">
      <c r="A284" s="28"/>
      <c r="B284" s="29"/>
      <c r="C284" s="28"/>
      <c r="D284" s="29"/>
      <c r="G284" s="29"/>
      <c r="H284" s="29"/>
      <c r="I284" s="29"/>
      <c r="J284" s="29"/>
      <c r="K284" s="29"/>
      <c r="L284" s="29"/>
      <c r="M284" s="29"/>
      <c r="N284" s="29"/>
    </row>
    <row r="285" ht="77.25" customHeight="1">
      <c r="A285" s="28"/>
      <c r="B285" s="29"/>
      <c r="C285" s="28"/>
      <c r="D285" s="29"/>
      <c r="G285" s="29"/>
      <c r="H285" s="29"/>
      <c r="I285" s="29"/>
      <c r="J285" s="29"/>
      <c r="K285" s="29"/>
      <c r="L285" s="29"/>
      <c r="M285" s="29"/>
      <c r="N285" s="29"/>
    </row>
    <row r="286" ht="77.25" customHeight="1">
      <c r="A286" s="28"/>
      <c r="B286" s="29"/>
      <c r="C286" s="28"/>
      <c r="D286" s="29"/>
      <c r="G286" s="29"/>
      <c r="H286" s="29"/>
      <c r="I286" s="29"/>
      <c r="J286" s="29"/>
      <c r="K286" s="29"/>
      <c r="L286" s="29"/>
      <c r="M286" s="29"/>
      <c r="N286" s="29"/>
    </row>
    <row r="287" ht="77.25" customHeight="1">
      <c r="A287" s="28"/>
      <c r="B287" s="29"/>
      <c r="C287" s="28"/>
      <c r="D287" s="29"/>
      <c r="G287" s="29"/>
      <c r="H287" s="29"/>
      <c r="I287" s="29"/>
      <c r="J287" s="29"/>
      <c r="K287" s="29"/>
      <c r="L287" s="29"/>
      <c r="M287" s="29"/>
      <c r="N287" s="29"/>
    </row>
    <row r="288" ht="77.25" customHeight="1">
      <c r="A288" s="28"/>
      <c r="B288" s="29"/>
      <c r="C288" s="28"/>
      <c r="D288" s="29"/>
      <c r="G288" s="29"/>
      <c r="H288" s="29"/>
      <c r="I288" s="29"/>
      <c r="J288" s="29"/>
      <c r="K288" s="29"/>
      <c r="L288" s="29"/>
      <c r="M288" s="29"/>
      <c r="N288" s="29"/>
    </row>
    <row r="289" ht="77.25" customHeight="1">
      <c r="A289" s="28"/>
      <c r="B289" s="29"/>
      <c r="C289" s="28"/>
      <c r="D289" s="29"/>
      <c r="G289" s="29"/>
      <c r="H289" s="29"/>
      <c r="I289" s="29"/>
      <c r="J289" s="29"/>
      <c r="K289" s="29"/>
      <c r="L289" s="29"/>
      <c r="M289" s="29"/>
      <c r="N289" s="29"/>
    </row>
    <row r="290" ht="77.25" customHeight="1">
      <c r="A290" s="28"/>
      <c r="B290" s="29"/>
      <c r="C290" s="28"/>
      <c r="D290" s="29"/>
      <c r="G290" s="29"/>
      <c r="H290" s="29"/>
      <c r="I290" s="29"/>
      <c r="J290" s="29"/>
      <c r="K290" s="29"/>
      <c r="L290" s="29"/>
      <c r="M290" s="29"/>
      <c r="N290" s="29"/>
    </row>
    <row r="291" ht="77.25" customHeight="1">
      <c r="A291" s="28"/>
      <c r="B291" s="29"/>
      <c r="C291" s="28"/>
      <c r="D291" s="29"/>
      <c r="G291" s="29"/>
      <c r="H291" s="29"/>
      <c r="I291" s="29"/>
      <c r="J291" s="29"/>
      <c r="K291" s="29"/>
      <c r="L291" s="29"/>
      <c r="M291" s="29"/>
      <c r="N291" s="29"/>
    </row>
    <row r="292" ht="77.25" customHeight="1">
      <c r="A292" s="28"/>
      <c r="B292" s="29"/>
      <c r="C292" s="28"/>
      <c r="D292" s="29"/>
      <c r="G292" s="29"/>
      <c r="H292" s="29"/>
      <c r="I292" s="29"/>
      <c r="J292" s="29"/>
      <c r="K292" s="29"/>
      <c r="L292" s="29"/>
      <c r="M292" s="29"/>
      <c r="N292" s="29"/>
    </row>
    <row r="293" ht="77.25" customHeight="1">
      <c r="A293" s="28"/>
      <c r="B293" s="29"/>
      <c r="C293" s="28"/>
      <c r="D293" s="29"/>
      <c r="G293" s="29"/>
      <c r="H293" s="29"/>
      <c r="I293" s="29"/>
      <c r="J293" s="29"/>
      <c r="K293" s="29"/>
      <c r="L293" s="29"/>
      <c r="M293" s="29"/>
      <c r="N293" s="29"/>
    </row>
    <row r="294" ht="77.25" customHeight="1">
      <c r="A294" s="28"/>
      <c r="B294" s="29"/>
      <c r="C294" s="28"/>
      <c r="D294" s="29"/>
      <c r="G294" s="29"/>
      <c r="H294" s="29"/>
      <c r="I294" s="29"/>
      <c r="J294" s="29"/>
      <c r="K294" s="29"/>
      <c r="L294" s="29"/>
      <c r="M294" s="29"/>
      <c r="N294" s="29"/>
    </row>
    <row r="295" ht="77.25" customHeight="1">
      <c r="A295" s="28"/>
      <c r="B295" s="29"/>
      <c r="C295" s="28"/>
      <c r="D295" s="29"/>
      <c r="G295" s="29"/>
      <c r="H295" s="29"/>
      <c r="I295" s="29"/>
      <c r="J295" s="29"/>
      <c r="K295" s="29"/>
      <c r="L295" s="29"/>
      <c r="M295" s="29"/>
      <c r="N295" s="29"/>
    </row>
    <row r="296" ht="77.25" customHeight="1">
      <c r="A296" s="28"/>
      <c r="B296" s="29"/>
      <c r="C296" s="28"/>
      <c r="D296" s="29"/>
      <c r="G296" s="29"/>
      <c r="H296" s="29"/>
      <c r="I296" s="29"/>
      <c r="J296" s="29"/>
      <c r="K296" s="29"/>
      <c r="L296" s="29"/>
      <c r="M296" s="29"/>
      <c r="N296" s="29"/>
    </row>
    <row r="297" ht="77.25" customHeight="1">
      <c r="A297" s="28"/>
      <c r="B297" s="29"/>
      <c r="C297" s="28"/>
      <c r="D297" s="29"/>
      <c r="G297" s="29"/>
      <c r="H297" s="29"/>
      <c r="I297" s="29"/>
      <c r="J297" s="29"/>
      <c r="K297" s="29"/>
      <c r="L297" s="29"/>
      <c r="M297" s="29"/>
      <c r="N297" s="29"/>
    </row>
    <row r="298" ht="77.25" customHeight="1">
      <c r="A298" s="28"/>
      <c r="B298" s="29"/>
      <c r="C298" s="28"/>
      <c r="D298" s="29"/>
      <c r="G298" s="29"/>
      <c r="H298" s="29"/>
      <c r="I298" s="29"/>
      <c r="J298" s="29"/>
      <c r="K298" s="29"/>
      <c r="L298" s="29"/>
      <c r="M298" s="29"/>
      <c r="N298" s="29"/>
    </row>
    <row r="299" ht="77.25" customHeight="1">
      <c r="A299" s="28"/>
      <c r="B299" s="29"/>
      <c r="C299" s="28"/>
      <c r="D299" s="29"/>
      <c r="G299" s="29"/>
      <c r="H299" s="29"/>
      <c r="I299" s="29"/>
      <c r="J299" s="29"/>
      <c r="K299" s="29"/>
      <c r="L299" s="29"/>
      <c r="M299" s="29"/>
      <c r="N299" s="29"/>
    </row>
    <row r="300" ht="77.25" customHeight="1">
      <c r="A300" s="28"/>
      <c r="B300" s="29"/>
      <c r="C300" s="28"/>
      <c r="D300" s="29"/>
      <c r="G300" s="29"/>
      <c r="H300" s="29"/>
      <c r="I300" s="29"/>
      <c r="J300" s="29"/>
      <c r="K300" s="29"/>
      <c r="L300" s="29"/>
      <c r="M300" s="29"/>
      <c r="N300" s="29"/>
    </row>
    <row r="301" ht="77.25" customHeight="1">
      <c r="A301" s="28"/>
      <c r="B301" s="29"/>
      <c r="C301" s="28"/>
      <c r="D301" s="29"/>
      <c r="G301" s="29"/>
      <c r="H301" s="29"/>
      <c r="I301" s="29"/>
      <c r="J301" s="29"/>
      <c r="K301" s="29"/>
      <c r="L301" s="29"/>
      <c r="M301" s="29"/>
      <c r="N301" s="29"/>
    </row>
    <row r="302" ht="77.25" customHeight="1">
      <c r="A302" s="28"/>
      <c r="B302" s="29"/>
      <c r="C302" s="28"/>
      <c r="D302" s="29"/>
      <c r="G302" s="29"/>
      <c r="H302" s="29"/>
      <c r="I302" s="29"/>
      <c r="J302" s="29"/>
      <c r="K302" s="29"/>
      <c r="L302" s="29"/>
      <c r="M302" s="29"/>
      <c r="N302" s="29"/>
    </row>
    <row r="303" ht="77.25" customHeight="1">
      <c r="A303" s="28"/>
      <c r="B303" s="29"/>
      <c r="C303" s="28"/>
      <c r="D303" s="29"/>
      <c r="G303" s="29"/>
      <c r="H303" s="29"/>
      <c r="I303" s="29"/>
      <c r="J303" s="29"/>
      <c r="K303" s="29"/>
      <c r="L303" s="29"/>
      <c r="M303" s="29"/>
      <c r="N303" s="29"/>
    </row>
    <row r="304" ht="77.25" customHeight="1">
      <c r="A304" s="28"/>
      <c r="B304" s="29"/>
      <c r="C304" s="28"/>
      <c r="D304" s="29"/>
      <c r="G304" s="29"/>
      <c r="H304" s="29"/>
      <c r="I304" s="29"/>
      <c r="J304" s="29"/>
      <c r="K304" s="29"/>
      <c r="L304" s="29"/>
      <c r="M304" s="29"/>
      <c r="N304" s="29"/>
    </row>
    <row r="305" ht="77.25" customHeight="1">
      <c r="A305" s="28"/>
      <c r="B305" s="29"/>
      <c r="C305" s="28"/>
      <c r="D305" s="29"/>
      <c r="G305" s="29"/>
      <c r="H305" s="29"/>
      <c r="I305" s="29"/>
      <c r="J305" s="29"/>
      <c r="K305" s="29"/>
      <c r="L305" s="29"/>
      <c r="M305" s="29"/>
      <c r="N305" s="29"/>
    </row>
    <row r="306" ht="77.25" customHeight="1">
      <c r="A306" s="28"/>
      <c r="B306" s="29"/>
      <c r="C306" s="28"/>
      <c r="D306" s="29"/>
      <c r="G306" s="29"/>
      <c r="H306" s="29"/>
      <c r="I306" s="29"/>
      <c r="J306" s="29"/>
      <c r="K306" s="29"/>
      <c r="L306" s="29"/>
      <c r="M306" s="29"/>
      <c r="N306" s="29"/>
    </row>
    <row r="307" ht="77.25" customHeight="1">
      <c r="A307" s="28"/>
      <c r="B307" s="29"/>
      <c r="C307" s="28"/>
      <c r="D307" s="29"/>
      <c r="G307" s="29"/>
      <c r="H307" s="29"/>
      <c r="I307" s="29"/>
      <c r="J307" s="29"/>
      <c r="K307" s="29"/>
      <c r="L307" s="29"/>
      <c r="M307" s="29"/>
      <c r="N307" s="29"/>
    </row>
    <row r="308" ht="77.25" customHeight="1">
      <c r="A308" s="28"/>
      <c r="B308" s="29"/>
      <c r="C308" s="28"/>
      <c r="D308" s="29"/>
      <c r="G308" s="29"/>
      <c r="H308" s="29"/>
      <c r="I308" s="29"/>
      <c r="J308" s="29"/>
      <c r="K308" s="29"/>
      <c r="L308" s="29"/>
      <c r="M308" s="29"/>
      <c r="N308" s="29"/>
    </row>
    <row r="309" ht="77.25" customHeight="1">
      <c r="A309" s="28"/>
      <c r="B309" s="29"/>
      <c r="C309" s="28"/>
      <c r="D309" s="29"/>
      <c r="G309" s="29"/>
      <c r="H309" s="29"/>
      <c r="I309" s="29"/>
      <c r="J309" s="29"/>
      <c r="K309" s="29"/>
      <c r="L309" s="29"/>
      <c r="M309" s="29"/>
      <c r="N309" s="29"/>
    </row>
    <row r="310" ht="77.25" customHeight="1">
      <c r="A310" s="28"/>
      <c r="B310" s="29"/>
      <c r="C310" s="28"/>
      <c r="D310" s="29"/>
      <c r="G310" s="29"/>
      <c r="H310" s="29"/>
      <c r="I310" s="29"/>
      <c r="J310" s="29"/>
      <c r="K310" s="29"/>
      <c r="L310" s="29"/>
      <c r="M310" s="29"/>
      <c r="N310" s="29"/>
    </row>
    <row r="311" ht="77.25" customHeight="1">
      <c r="A311" s="28"/>
      <c r="B311" s="29"/>
      <c r="C311" s="28"/>
      <c r="D311" s="29"/>
      <c r="G311" s="29"/>
      <c r="H311" s="29"/>
      <c r="I311" s="29"/>
      <c r="J311" s="29"/>
      <c r="K311" s="29"/>
      <c r="L311" s="29"/>
      <c r="M311" s="29"/>
      <c r="N311" s="29"/>
    </row>
    <row r="312" ht="77.25" customHeight="1">
      <c r="A312" s="28"/>
      <c r="B312" s="29"/>
      <c r="C312" s="28"/>
      <c r="D312" s="29"/>
      <c r="G312" s="29"/>
      <c r="H312" s="29"/>
      <c r="I312" s="29"/>
      <c r="J312" s="29"/>
      <c r="K312" s="29"/>
      <c r="L312" s="29"/>
      <c r="M312" s="29"/>
      <c r="N312" s="29"/>
    </row>
    <row r="313" ht="77.25" customHeight="1">
      <c r="A313" s="28"/>
      <c r="B313" s="29"/>
      <c r="C313" s="28"/>
      <c r="D313" s="29"/>
      <c r="G313" s="29"/>
      <c r="H313" s="29"/>
      <c r="I313" s="29"/>
      <c r="J313" s="29"/>
      <c r="K313" s="29"/>
      <c r="L313" s="29"/>
      <c r="M313" s="29"/>
      <c r="N313" s="29"/>
    </row>
    <row r="314" ht="77.25" customHeight="1">
      <c r="A314" s="28"/>
      <c r="B314" s="29"/>
      <c r="C314" s="28"/>
      <c r="D314" s="29"/>
      <c r="G314" s="29"/>
      <c r="H314" s="29"/>
      <c r="I314" s="29"/>
      <c r="J314" s="29"/>
      <c r="K314" s="29"/>
      <c r="L314" s="29"/>
      <c r="M314" s="29"/>
      <c r="N314" s="29"/>
    </row>
    <row r="315" ht="77.25" customHeight="1">
      <c r="A315" s="28"/>
      <c r="B315" s="29"/>
      <c r="C315" s="28"/>
      <c r="D315" s="29"/>
      <c r="G315" s="29"/>
      <c r="H315" s="29"/>
      <c r="I315" s="29"/>
      <c r="J315" s="29"/>
      <c r="K315" s="29"/>
      <c r="L315" s="29"/>
      <c r="M315" s="29"/>
      <c r="N315" s="29"/>
    </row>
    <row r="316" ht="77.25" customHeight="1">
      <c r="A316" s="28"/>
      <c r="B316" s="29"/>
      <c r="C316" s="28"/>
      <c r="D316" s="29"/>
      <c r="G316" s="29"/>
      <c r="H316" s="29"/>
      <c r="I316" s="29"/>
      <c r="J316" s="29"/>
      <c r="K316" s="29"/>
      <c r="L316" s="29"/>
      <c r="M316" s="29"/>
      <c r="N316" s="29"/>
    </row>
    <row r="317" ht="77.25" customHeight="1">
      <c r="A317" s="28"/>
      <c r="B317" s="29"/>
      <c r="C317" s="28"/>
      <c r="D317" s="29"/>
      <c r="G317" s="29"/>
      <c r="H317" s="29"/>
      <c r="I317" s="29"/>
      <c r="J317" s="29"/>
      <c r="K317" s="29"/>
      <c r="L317" s="29"/>
      <c r="M317" s="29"/>
      <c r="N317" s="29"/>
    </row>
    <row r="318" ht="77.25" customHeight="1">
      <c r="A318" s="28"/>
      <c r="B318" s="29"/>
      <c r="C318" s="28"/>
      <c r="D318" s="29"/>
      <c r="G318" s="29"/>
      <c r="H318" s="29"/>
      <c r="I318" s="29"/>
      <c r="J318" s="29"/>
      <c r="K318" s="29"/>
      <c r="L318" s="29"/>
      <c r="M318" s="29"/>
      <c r="N318" s="29"/>
    </row>
    <row r="319" ht="77.25" customHeight="1">
      <c r="A319" s="28"/>
      <c r="B319" s="29"/>
      <c r="C319" s="28"/>
      <c r="D319" s="29"/>
      <c r="G319" s="29"/>
      <c r="H319" s="29"/>
      <c r="I319" s="29"/>
      <c r="J319" s="29"/>
      <c r="K319" s="29"/>
      <c r="L319" s="29"/>
      <c r="M319" s="29"/>
      <c r="N319" s="29"/>
    </row>
    <row r="320" ht="77.25" customHeight="1">
      <c r="A320" s="28"/>
      <c r="B320" s="29"/>
      <c r="C320" s="28"/>
      <c r="D320" s="29"/>
      <c r="G320" s="29"/>
      <c r="H320" s="29"/>
      <c r="I320" s="29"/>
      <c r="J320" s="29"/>
      <c r="K320" s="29"/>
      <c r="L320" s="29"/>
      <c r="M320" s="29"/>
      <c r="N320" s="29"/>
    </row>
    <row r="321" ht="77.25" customHeight="1">
      <c r="A321" s="28"/>
      <c r="B321" s="29"/>
      <c r="C321" s="28"/>
      <c r="D321" s="29"/>
      <c r="G321" s="29"/>
      <c r="H321" s="29"/>
      <c r="I321" s="29"/>
      <c r="J321" s="29"/>
      <c r="K321" s="29"/>
      <c r="L321" s="29"/>
      <c r="M321" s="29"/>
      <c r="N321" s="29"/>
    </row>
    <row r="322" ht="77.25" customHeight="1">
      <c r="A322" s="28"/>
      <c r="B322" s="29"/>
      <c r="C322" s="28"/>
      <c r="D322" s="29"/>
      <c r="G322" s="29"/>
      <c r="H322" s="29"/>
      <c r="I322" s="29"/>
      <c r="J322" s="29"/>
      <c r="K322" s="29"/>
      <c r="L322" s="29"/>
      <c r="M322" s="29"/>
      <c r="N322" s="29"/>
    </row>
    <row r="323" ht="77.25" customHeight="1">
      <c r="A323" s="28"/>
      <c r="B323" s="29"/>
      <c r="C323" s="28"/>
      <c r="D323" s="29"/>
      <c r="G323" s="29"/>
      <c r="H323" s="29"/>
      <c r="I323" s="29"/>
      <c r="J323" s="29"/>
      <c r="K323" s="29"/>
      <c r="L323" s="29"/>
      <c r="M323" s="29"/>
      <c r="N323" s="29"/>
    </row>
    <row r="324" ht="77.25" customHeight="1">
      <c r="A324" s="28"/>
      <c r="B324" s="29"/>
      <c r="C324" s="28"/>
      <c r="D324" s="29"/>
      <c r="G324" s="29"/>
      <c r="H324" s="29"/>
      <c r="I324" s="29"/>
      <c r="J324" s="29"/>
      <c r="K324" s="29"/>
      <c r="L324" s="29"/>
      <c r="M324" s="29"/>
      <c r="N324" s="29"/>
    </row>
    <row r="325" ht="77.25" customHeight="1">
      <c r="A325" s="28"/>
      <c r="B325" s="29"/>
      <c r="C325" s="28"/>
      <c r="D325" s="29"/>
      <c r="G325" s="29"/>
      <c r="H325" s="29"/>
      <c r="I325" s="29"/>
      <c r="J325" s="29"/>
      <c r="K325" s="29"/>
      <c r="L325" s="29"/>
      <c r="M325" s="29"/>
      <c r="N325" s="29"/>
    </row>
    <row r="326" ht="77.25" customHeight="1">
      <c r="A326" s="28"/>
      <c r="B326" s="29"/>
      <c r="C326" s="28"/>
      <c r="D326" s="29"/>
      <c r="G326" s="29"/>
      <c r="H326" s="29"/>
      <c r="I326" s="29"/>
      <c r="J326" s="29"/>
      <c r="K326" s="29"/>
      <c r="L326" s="29"/>
      <c r="M326" s="29"/>
      <c r="N326" s="29"/>
    </row>
    <row r="327" ht="77.25" customHeight="1">
      <c r="A327" s="28"/>
      <c r="B327" s="29"/>
      <c r="C327" s="28"/>
      <c r="D327" s="29"/>
      <c r="G327" s="29"/>
      <c r="H327" s="29"/>
      <c r="I327" s="29"/>
      <c r="J327" s="29"/>
      <c r="K327" s="29"/>
      <c r="L327" s="29"/>
      <c r="M327" s="29"/>
      <c r="N327" s="29"/>
    </row>
    <row r="328" ht="77.25" customHeight="1">
      <c r="A328" s="28"/>
      <c r="B328" s="29"/>
      <c r="C328" s="28"/>
      <c r="D328" s="29"/>
      <c r="G328" s="29"/>
      <c r="H328" s="29"/>
      <c r="I328" s="29"/>
      <c r="J328" s="29"/>
      <c r="K328" s="29"/>
      <c r="L328" s="29"/>
      <c r="M328" s="29"/>
      <c r="N328" s="29"/>
    </row>
    <row r="329" ht="77.25" customHeight="1">
      <c r="A329" s="28"/>
      <c r="B329" s="29"/>
      <c r="C329" s="28"/>
      <c r="D329" s="29"/>
      <c r="G329" s="29"/>
      <c r="H329" s="29"/>
      <c r="I329" s="29"/>
      <c r="J329" s="29"/>
      <c r="K329" s="29"/>
      <c r="L329" s="29"/>
      <c r="M329" s="29"/>
      <c r="N329" s="29"/>
    </row>
    <row r="330" ht="77.25" customHeight="1">
      <c r="A330" s="28"/>
      <c r="B330" s="29"/>
      <c r="C330" s="28"/>
      <c r="D330" s="29"/>
      <c r="G330" s="29"/>
      <c r="H330" s="29"/>
      <c r="I330" s="29"/>
      <c r="J330" s="29"/>
      <c r="K330" s="29"/>
      <c r="L330" s="29"/>
      <c r="M330" s="29"/>
      <c r="N330" s="29"/>
    </row>
    <row r="331" ht="77.25" customHeight="1">
      <c r="A331" s="28"/>
      <c r="B331" s="29"/>
      <c r="C331" s="28"/>
      <c r="D331" s="29"/>
      <c r="G331" s="29"/>
      <c r="H331" s="29"/>
      <c r="I331" s="29"/>
      <c r="J331" s="29"/>
      <c r="K331" s="29"/>
      <c r="L331" s="29"/>
      <c r="M331" s="29"/>
      <c r="N331" s="29"/>
    </row>
    <row r="332" ht="77.25" customHeight="1">
      <c r="A332" s="28"/>
      <c r="B332" s="29"/>
      <c r="C332" s="28"/>
      <c r="D332" s="29"/>
      <c r="G332" s="29"/>
      <c r="H332" s="29"/>
      <c r="I332" s="29"/>
      <c r="J332" s="29"/>
      <c r="K332" s="29"/>
      <c r="L332" s="29"/>
      <c r="M332" s="29"/>
      <c r="N332" s="29"/>
    </row>
    <row r="333" ht="77.25" customHeight="1">
      <c r="A333" s="28"/>
      <c r="B333" s="29"/>
      <c r="C333" s="28"/>
      <c r="D333" s="29"/>
      <c r="G333" s="29"/>
      <c r="H333" s="29"/>
      <c r="I333" s="29"/>
      <c r="J333" s="29"/>
      <c r="K333" s="29"/>
      <c r="L333" s="29"/>
      <c r="M333" s="29"/>
      <c r="N333" s="29"/>
    </row>
    <row r="334" ht="77.25" customHeight="1">
      <c r="A334" s="28"/>
      <c r="B334" s="29"/>
      <c r="C334" s="28"/>
      <c r="D334" s="29"/>
      <c r="G334" s="29"/>
      <c r="H334" s="29"/>
      <c r="I334" s="29"/>
      <c r="J334" s="29"/>
      <c r="K334" s="29"/>
      <c r="L334" s="29"/>
      <c r="M334" s="29"/>
      <c r="N334" s="29"/>
    </row>
    <row r="335" ht="77.25" customHeight="1">
      <c r="A335" s="28"/>
      <c r="B335" s="29"/>
      <c r="C335" s="28"/>
      <c r="D335" s="29"/>
      <c r="G335" s="29"/>
      <c r="H335" s="29"/>
      <c r="I335" s="29"/>
      <c r="J335" s="29"/>
      <c r="K335" s="29"/>
      <c r="L335" s="29"/>
      <c r="M335" s="29"/>
      <c r="N335" s="29"/>
    </row>
    <row r="336" ht="77.25" customHeight="1">
      <c r="A336" s="28"/>
      <c r="B336" s="29"/>
      <c r="C336" s="28"/>
      <c r="D336" s="29"/>
      <c r="G336" s="29"/>
      <c r="H336" s="29"/>
      <c r="I336" s="29"/>
      <c r="J336" s="29"/>
      <c r="K336" s="29"/>
      <c r="L336" s="29"/>
      <c r="M336" s="29"/>
      <c r="N336" s="29"/>
    </row>
    <row r="337" ht="77.25" customHeight="1">
      <c r="A337" s="28"/>
      <c r="B337" s="29"/>
      <c r="C337" s="28"/>
      <c r="D337" s="29"/>
      <c r="G337" s="29"/>
      <c r="H337" s="29"/>
      <c r="I337" s="29"/>
      <c r="J337" s="29"/>
      <c r="K337" s="29"/>
      <c r="L337" s="29"/>
      <c r="M337" s="29"/>
      <c r="N337" s="29"/>
    </row>
    <row r="338" ht="77.25" customHeight="1">
      <c r="A338" s="28"/>
      <c r="B338" s="29"/>
      <c r="C338" s="28"/>
      <c r="D338" s="29"/>
      <c r="G338" s="29"/>
      <c r="H338" s="29"/>
      <c r="I338" s="29"/>
      <c r="J338" s="29"/>
      <c r="K338" s="29"/>
      <c r="L338" s="29"/>
      <c r="M338" s="29"/>
      <c r="N338" s="29"/>
    </row>
    <row r="339" ht="77.25" customHeight="1">
      <c r="A339" s="28"/>
      <c r="B339" s="29"/>
      <c r="C339" s="28"/>
      <c r="D339" s="29"/>
      <c r="G339" s="29"/>
      <c r="H339" s="29"/>
      <c r="I339" s="29"/>
      <c r="J339" s="29"/>
      <c r="K339" s="29"/>
      <c r="L339" s="29"/>
      <c r="M339" s="29"/>
      <c r="N339" s="29"/>
    </row>
    <row r="340" ht="77.25" customHeight="1">
      <c r="A340" s="28"/>
      <c r="B340" s="29"/>
      <c r="C340" s="28"/>
      <c r="D340" s="29"/>
      <c r="G340" s="29"/>
      <c r="H340" s="29"/>
      <c r="I340" s="29"/>
      <c r="J340" s="29"/>
      <c r="K340" s="29"/>
      <c r="L340" s="29"/>
      <c r="M340" s="29"/>
      <c r="N340" s="29"/>
    </row>
    <row r="341" ht="77.25" customHeight="1">
      <c r="A341" s="28"/>
      <c r="B341" s="29"/>
      <c r="C341" s="28"/>
      <c r="D341" s="29"/>
      <c r="G341" s="29"/>
      <c r="H341" s="29"/>
      <c r="I341" s="29"/>
      <c r="J341" s="29"/>
      <c r="K341" s="29"/>
      <c r="L341" s="29"/>
      <c r="M341" s="29"/>
      <c r="N341" s="29"/>
    </row>
    <row r="342" ht="77.25" customHeight="1">
      <c r="A342" s="28"/>
      <c r="B342" s="29"/>
      <c r="C342" s="28"/>
      <c r="D342" s="29"/>
      <c r="G342" s="29"/>
      <c r="H342" s="29"/>
      <c r="I342" s="29"/>
      <c r="J342" s="29"/>
      <c r="K342" s="29"/>
      <c r="L342" s="29"/>
      <c r="M342" s="29"/>
      <c r="N342" s="29"/>
    </row>
    <row r="343" ht="77.25" customHeight="1">
      <c r="A343" s="28"/>
      <c r="B343" s="29"/>
      <c r="C343" s="28"/>
      <c r="D343" s="29"/>
      <c r="G343" s="29"/>
      <c r="H343" s="29"/>
      <c r="I343" s="29"/>
      <c r="J343" s="29"/>
      <c r="K343" s="29"/>
      <c r="L343" s="29"/>
      <c r="M343" s="29"/>
      <c r="N343" s="29"/>
    </row>
    <row r="344" ht="77.25" customHeight="1">
      <c r="A344" s="28"/>
      <c r="B344" s="29"/>
      <c r="C344" s="28"/>
      <c r="D344" s="29"/>
      <c r="G344" s="29"/>
      <c r="H344" s="29"/>
      <c r="I344" s="29"/>
      <c r="J344" s="29"/>
      <c r="K344" s="29"/>
      <c r="L344" s="29"/>
      <c r="M344" s="29"/>
      <c r="N344" s="29"/>
    </row>
    <row r="345" ht="77.25" customHeight="1">
      <c r="A345" s="28"/>
      <c r="B345" s="29"/>
      <c r="C345" s="28"/>
      <c r="D345" s="29"/>
      <c r="G345" s="29"/>
      <c r="H345" s="29"/>
      <c r="I345" s="29"/>
      <c r="J345" s="29"/>
      <c r="K345" s="29"/>
      <c r="L345" s="29"/>
      <c r="M345" s="29"/>
      <c r="N345" s="29"/>
    </row>
    <row r="346" ht="77.25" customHeight="1">
      <c r="A346" s="28"/>
      <c r="B346" s="29"/>
      <c r="C346" s="28"/>
      <c r="D346" s="29"/>
      <c r="G346" s="29"/>
      <c r="H346" s="29"/>
      <c r="I346" s="29"/>
      <c r="J346" s="29"/>
      <c r="K346" s="29"/>
      <c r="L346" s="29"/>
      <c r="M346" s="29"/>
      <c r="N346" s="29"/>
    </row>
    <row r="347" ht="77.25" customHeight="1">
      <c r="A347" s="28"/>
      <c r="B347" s="29"/>
      <c r="C347" s="28"/>
      <c r="D347" s="29"/>
      <c r="G347" s="29"/>
      <c r="H347" s="29"/>
      <c r="I347" s="29"/>
      <c r="J347" s="29"/>
      <c r="K347" s="29"/>
      <c r="L347" s="29"/>
      <c r="M347" s="29"/>
      <c r="N347" s="29"/>
    </row>
    <row r="348" ht="77.25" customHeight="1">
      <c r="A348" s="28"/>
      <c r="B348" s="29"/>
      <c r="C348" s="28"/>
      <c r="D348" s="29"/>
      <c r="G348" s="29"/>
      <c r="H348" s="29"/>
      <c r="I348" s="29"/>
      <c r="J348" s="29"/>
      <c r="K348" s="29"/>
      <c r="L348" s="29"/>
      <c r="M348" s="29"/>
      <c r="N348" s="29"/>
    </row>
    <row r="349" ht="77.25" customHeight="1">
      <c r="A349" s="28"/>
      <c r="B349" s="29"/>
      <c r="C349" s="28"/>
      <c r="D349" s="29"/>
      <c r="G349" s="29"/>
      <c r="H349" s="29"/>
      <c r="I349" s="29"/>
      <c r="J349" s="29"/>
      <c r="K349" s="29"/>
      <c r="L349" s="29"/>
      <c r="M349" s="29"/>
      <c r="N349" s="29"/>
    </row>
    <row r="350" ht="77.25" customHeight="1">
      <c r="A350" s="28"/>
      <c r="B350" s="29"/>
      <c r="C350" s="28"/>
      <c r="D350" s="29"/>
      <c r="G350" s="29"/>
      <c r="H350" s="29"/>
      <c r="I350" s="29"/>
      <c r="J350" s="29"/>
      <c r="K350" s="29"/>
      <c r="L350" s="29"/>
      <c r="M350" s="29"/>
      <c r="N350" s="29"/>
    </row>
    <row r="351" ht="77.25" customHeight="1">
      <c r="A351" s="28"/>
      <c r="B351" s="29"/>
      <c r="C351" s="28"/>
      <c r="D351" s="29"/>
      <c r="G351" s="29"/>
      <c r="H351" s="29"/>
      <c r="I351" s="29"/>
      <c r="J351" s="29"/>
      <c r="K351" s="29"/>
      <c r="L351" s="29"/>
      <c r="M351" s="29"/>
      <c r="N351" s="29"/>
    </row>
    <row r="352" ht="77.25" customHeight="1">
      <c r="A352" s="28"/>
      <c r="B352" s="29"/>
      <c r="C352" s="28"/>
      <c r="D352" s="29"/>
      <c r="G352" s="29"/>
      <c r="H352" s="29"/>
      <c r="I352" s="29"/>
      <c r="J352" s="29"/>
      <c r="K352" s="29"/>
      <c r="L352" s="29"/>
      <c r="M352" s="29"/>
      <c r="N352" s="29"/>
    </row>
    <row r="353" ht="77.25" customHeight="1">
      <c r="A353" s="28"/>
      <c r="B353" s="29"/>
      <c r="C353" s="28"/>
      <c r="D353" s="29"/>
      <c r="G353" s="29"/>
      <c r="H353" s="29"/>
      <c r="I353" s="29"/>
      <c r="J353" s="29"/>
      <c r="K353" s="29"/>
      <c r="L353" s="29"/>
      <c r="M353" s="29"/>
      <c r="N353" s="29"/>
    </row>
    <row r="354" ht="77.25" customHeight="1">
      <c r="A354" s="28"/>
      <c r="B354" s="29"/>
      <c r="C354" s="28"/>
      <c r="D354" s="29"/>
      <c r="G354" s="29"/>
      <c r="H354" s="29"/>
      <c r="I354" s="29"/>
      <c r="J354" s="29"/>
      <c r="K354" s="29"/>
      <c r="L354" s="29"/>
      <c r="M354" s="29"/>
      <c r="N354" s="29"/>
    </row>
    <row r="355" ht="77.25" customHeight="1">
      <c r="A355" s="28"/>
      <c r="B355" s="29"/>
      <c r="C355" s="28"/>
      <c r="D355" s="29"/>
      <c r="G355" s="29"/>
      <c r="H355" s="29"/>
      <c r="I355" s="29"/>
      <c r="J355" s="29"/>
      <c r="K355" s="29"/>
      <c r="L355" s="29"/>
      <c r="M355" s="29"/>
      <c r="N355" s="29"/>
    </row>
    <row r="356" ht="77.25" customHeight="1">
      <c r="A356" s="28"/>
      <c r="B356" s="29"/>
      <c r="C356" s="28"/>
      <c r="D356" s="29"/>
      <c r="G356" s="29"/>
      <c r="H356" s="29"/>
      <c r="I356" s="29"/>
      <c r="J356" s="29"/>
      <c r="K356" s="29"/>
      <c r="L356" s="29"/>
      <c r="M356" s="29"/>
      <c r="N356" s="29"/>
    </row>
    <row r="357" ht="77.25" customHeight="1">
      <c r="A357" s="28"/>
      <c r="B357" s="29"/>
      <c r="C357" s="28"/>
      <c r="D357" s="29"/>
      <c r="G357" s="29"/>
      <c r="H357" s="29"/>
      <c r="I357" s="29"/>
      <c r="J357" s="29"/>
      <c r="K357" s="29"/>
      <c r="L357" s="29"/>
      <c r="M357" s="29"/>
      <c r="N357" s="29"/>
    </row>
    <row r="358" ht="77.25" customHeight="1">
      <c r="A358" s="28"/>
      <c r="B358" s="29"/>
      <c r="C358" s="28"/>
      <c r="D358" s="29"/>
      <c r="G358" s="29"/>
      <c r="H358" s="29"/>
      <c r="I358" s="29"/>
      <c r="J358" s="29"/>
      <c r="K358" s="29"/>
      <c r="L358" s="29"/>
      <c r="M358" s="29"/>
      <c r="N358" s="29"/>
    </row>
    <row r="359" ht="77.25" customHeight="1">
      <c r="A359" s="28"/>
      <c r="B359" s="29"/>
      <c r="C359" s="28"/>
      <c r="D359" s="29"/>
      <c r="G359" s="29"/>
      <c r="H359" s="29"/>
      <c r="I359" s="29"/>
      <c r="J359" s="29"/>
      <c r="K359" s="29"/>
      <c r="L359" s="29"/>
      <c r="M359" s="29"/>
      <c r="N359" s="29"/>
    </row>
    <row r="360" ht="77.25" customHeight="1">
      <c r="A360" s="28"/>
      <c r="B360" s="29"/>
      <c r="C360" s="28"/>
      <c r="D360" s="29"/>
      <c r="G360" s="29"/>
      <c r="H360" s="29"/>
      <c r="I360" s="29"/>
      <c r="J360" s="29"/>
      <c r="K360" s="29"/>
      <c r="L360" s="29"/>
      <c r="M360" s="29"/>
      <c r="N360" s="29"/>
    </row>
    <row r="361" ht="77.25" customHeight="1">
      <c r="A361" s="28"/>
      <c r="B361" s="29"/>
      <c r="C361" s="28"/>
      <c r="D361" s="29"/>
      <c r="G361" s="29"/>
      <c r="H361" s="29"/>
      <c r="I361" s="29"/>
      <c r="J361" s="29"/>
      <c r="K361" s="29"/>
      <c r="L361" s="29"/>
      <c r="M361" s="29"/>
      <c r="N361" s="29"/>
    </row>
    <row r="362" ht="77.25" customHeight="1">
      <c r="A362" s="28"/>
      <c r="B362" s="29"/>
      <c r="C362" s="28"/>
      <c r="D362" s="29"/>
      <c r="G362" s="29"/>
      <c r="H362" s="29"/>
      <c r="I362" s="29"/>
      <c r="J362" s="29"/>
      <c r="K362" s="29"/>
      <c r="L362" s="29"/>
      <c r="M362" s="29"/>
      <c r="N362" s="29"/>
    </row>
    <row r="363" ht="77.25" customHeight="1">
      <c r="A363" s="28"/>
      <c r="B363" s="29"/>
      <c r="C363" s="28"/>
      <c r="D363" s="29"/>
      <c r="G363" s="29"/>
      <c r="H363" s="29"/>
      <c r="I363" s="29"/>
      <c r="J363" s="29"/>
      <c r="K363" s="29"/>
      <c r="L363" s="29"/>
      <c r="M363" s="29"/>
      <c r="N363" s="29"/>
    </row>
    <row r="364" ht="77.25" customHeight="1">
      <c r="A364" s="28"/>
      <c r="B364" s="29"/>
      <c r="C364" s="28"/>
      <c r="D364" s="29"/>
      <c r="G364" s="29"/>
      <c r="H364" s="29"/>
      <c r="I364" s="29"/>
      <c r="J364" s="29"/>
      <c r="K364" s="29"/>
      <c r="L364" s="29"/>
      <c r="M364" s="29"/>
      <c r="N364" s="29"/>
    </row>
    <row r="365" ht="77.25" customHeight="1">
      <c r="A365" s="28"/>
      <c r="B365" s="29"/>
      <c r="C365" s="28"/>
      <c r="D365" s="29"/>
      <c r="G365" s="29"/>
      <c r="H365" s="29"/>
      <c r="I365" s="29"/>
      <c r="J365" s="29"/>
      <c r="K365" s="29"/>
      <c r="L365" s="29"/>
      <c r="M365" s="29"/>
      <c r="N365" s="29"/>
    </row>
    <row r="366" ht="77.25" customHeight="1">
      <c r="A366" s="28"/>
      <c r="B366" s="29"/>
      <c r="C366" s="28"/>
      <c r="D366" s="29"/>
      <c r="G366" s="29"/>
      <c r="H366" s="29"/>
      <c r="I366" s="29"/>
      <c r="J366" s="29"/>
      <c r="K366" s="29"/>
      <c r="L366" s="29"/>
      <c r="M366" s="29"/>
      <c r="N366" s="29"/>
    </row>
    <row r="367" ht="77.25" customHeight="1">
      <c r="A367" s="28"/>
      <c r="B367" s="29"/>
      <c r="C367" s="28"/>
      <c r="D367" s="29"/>
      <c r="G367" s="29"/>
      <c r="H367" s="29"/>
      <c r="I367" s="29"/>
      <c r="J367" s="29"/>
      <c r="K367" s="29"/>
      <c r="L367" s="29"/>
      <c r="M367" s="29"/>
      <c r="N367" s="29"/>
    </row>
    <row r="368" ht="77.25" customHeight="1">
      <c r="A368" s="28"/>
      <c r="B368" s="29"/>
      <c r="C368" s="28"/>
      <c r="D368" s="29"/>
      <c r="G368" s="29"/>
      <c r="H368" s="29"/>
      <c r="I368" s="29"/>
      <c r="J368" s="29"/>
      <c r="K368" s="29"/>
      <c r="L368" s="29"/>
      <c r="M368" s="29"/>
      <c r="N368" s="29"/>
    </row>
    <row r="369" ht="77.25" customHeight="1">
      <c r="A369" s="28"/>
      <c r="B369" s="29"/>
      <c r="C369" s="28"/>
      <c r="D369" s="29"/>
      <c r="G369" s="29"/>
      <c r="H369" s="29"/>
      <c r="I369" s="29"/>
      <c r="J369" s="29"/>
      <c r="K369" s="29"/>
      <c r="L369" s="29"/>
      <c r="M369" s="29"/>
      <c r="N369" s="29"/>
    </row>
    <row r="370" ht="77.25" customHeight="1">
      <c r="A370" s="28"/>
      <c r="B370" s="29"/>
      <c r="C370" s="28"/>
      <c r="D370" s="29"/>
      <c r="G370" s="29"/>
      <c r="H370" s="29"/>
      <c r="I370" s="29"/>
      <c r="J370" s="29"/>
      <c r="K370" s="29"/>
      <c r="L370" s="29"/>
      <c r="M370" s="29"/>
      <c r="N370" s="29"/>
    </row>
    <row r="371" ht="77.25" customHeight="1">
      <c r="A371" s="28"/>
      <c r="B371" s="29"/>
      <c r="C371" s="28"/>
      <c r="D371" s="29"/>
      <c r="G371" s="29"/>
      <c r="H371" s="29"/>
      <c r="I371" s="29"/>
      <c r="J371" s="29"/>
      <c r="K371" s="29"/>
      <c r="L371" s="29"/>
      <c r="M371" s="29"/>
      <c r="N371" s="29"/>
    </row>
    <row r="372" ht="77.25" customHeight="1">
      <c r="A372" s="28"/>
      <c r="B372" s="29"/>
      <c r="C372" s="28"/>
      <c r="D372" s="29"/>
      <c r="G372" s="29"/>
      <c r="H372" s="29"/>
      <c r="I372" s="29"/>
      <c r="J372" s="29"/>
      <c r="K372" s="29"/>
      <c r="L372" s="29"/>
      <c r="M372" s="29"/>
      <c r="N372" s="29"/>
    </row>
    <row r="373" ht="77.25" customHeight="1">
      <c r="A373" s="28"/>
      <c r="B373" s="29"/>
      <c r="C373" s="28"/>
      <c r="D373" s="29"/>
      <c r="G373" s="29"/>
      <c r="H373" s="29"/>
      <c r="I373" s="29"/>
      <c r="J373" s="29"/>
      <c r="K373" s="29"/>
      <c r="L373" s="29"/>
      <c r="M373" s="29"/>
      <c r="N373" s="29"/>
    </row>
    <row r="374" ht="77.25" customHeight="1">
      <c r="A374" s="28"/>
      <c r="B374" s="29"/>
      <c r="C374" s="28"/>
      <c r="D374" s="29"/>
      <c r="G374" s="29"/>
      <c r="H374" s="29"/>
      <c r="I374" s="29"/>
      <c r="J374" s="29"/>
      <c r="K374" s="29"/>
      <c r="L374" s="29"/>
      <c r="M374" s="29"/>
      <c r="N374" s="29"/>
    </row>
    <row r="375" ht="77.25" customHeight="1">
      <c r="A375" s="28"/>
      <c r="B375" s="29"/>
      <c r="C375" s="28"/>
      <c r="D375" s="29"/>
      <c r="G375" s="29"/>
      <c r="H375" s="29"/>
      <c r="I375" s="29"/>
      <c r="J375" s="29"/>
      <c r="K375" s="29"/>
      <c r="L375" s="29"/>
      <c r="M375" s="29"/>
      <c r="N375" s="29"/>
    </row>
    <row r="376" ht="77.25" customHeight="1">
      <c r="A376" s="28"/>
      <c r="B376" s="29"/>
      <c r="C376" s="28"/>
      <c r="D376" s="29"/>
      <c r="G376" s="29"/>
      <c r="H376" s="29"/>
      <c r="I376" s="29"/>
      <c r="J376" s="29"/>
      <c r="K376" s="29"/>
      <c r="L376" s="29"/>
      <c r="M376" s="29"/>
      <c r="N376" s="29"/>
    </row>
    <row r="377" ht="77.25" customHeight="1">
      <c r="A377" s="28"/>
      <c r="B377" s="29"/>
      <c r="C377" s="28"/>
      <c r="D377" s="29"/>
      <c r="G377" s="29"/>
      <c r="H377" s="29"/>
      <c r="I377" s="29"/>
      <c r="J377" s="29"/>
      <c r="K377" s="29"/>
      <c r="L377" s="29"/>
      <c r="M377" s="29"/>
      <c r="N377" s="29"/>
    </row>
    <row r="378" ht="77.25" customHeight="1">
      <c r="A378" s="28"/>
      <c r="B378" s="29"/>
      <c r="C378" s="28"/>
      <c r="D378" s="29"/>
      <c r="G378" s="29"/>
      <c r="H378" s="29"/>
      <c r="I378" s="29"/>
      <c r="J378" s="29"/>
      <c r="K378" s="29"/>
      <c r="L378" s="29"/>
      <c r="M378" s="29"/>
      <c r="N378" s="29"/>
    </row>
    <row r="379" ht="77.25" customHeight="1">
      <c r="A379" s="28"/>
      <c r="B379" s="29"/>
      <c r="C379" s="28"/>
      <c r="D379" s="29"/>
      <c r="G379" s="29"/>
      <c r="H379" s="29"/>
      <c r="I379" s="29"/>
      <c r="J379" s="29"/>
      <c r="K379" s="29"/>
      <c r="L379" s="29"/>
      <c r="M379" s="29"/>
      <c r="N379" s="29"/>
    </row>
    <row r="380" ht="77.25" customHeight="1">
      <c r="A380" s="28"/>
      <c r="B380" s="29"/>
      <c r="C380" s="28"/>
      <c r="D380" s="29"/>
      <c r="G380" s="29"/>
      <c r="H380" s="29"/>
      <c r="I380" s="29"/>
      <c r="J380" s="29"/>
      <c r="K380" s="29"/>
      <c r="L380" s="29"/>
      <c r="M380" s="29"/>
      <c r="N380" s="29"/>
    </row>
    <row r="381" ht="77.25" customHeight="1">
      <c r="A381" s="28"/>
      <c r="B381" s="29"/>
      <c r="C381" s="28"/>
      <c r="D381" s="29"/>
      <c r="G381" s="29"/>
      <c r="H381" s="29"/>
      <c r="I381" s="29"/>
      <c r="J381" s="29"/>
      <c r="K381" s="29"/>
      <c r="L381" s="29"/>
      <c r="M381" s="29"/>
      <c r="N381" s="29"/>
    </row>
    <row r="382" ht="77.25" customHeight="1">
      <c r="A382" s="28"/>
      <c r="B382" s="29"/>
      <c r="C382" s="28"/>
      <c r="D382" s="29"/>
      <c r="G382" s="29"/>
      <c r="H382" s="29"/>
      <c r="I382" s="29"/>
      <c r="J382" s="29"/>
      <c r="K382" s="29"/>
      <c r="L382" s="29"/>
      <c r="M382" s="29"/>
      <c r="N382" s="29"/>
    </row>
    <row r="383" ht="77.25" customHeight="1">
      <c r="A383" s="28"/>
      <c r="B383" s="29"/>
      <c r="C383" s="28"/>
      <c r="D383" s="29"/>
      <c r="G383" s="29"/>
      <c r="H383" s="29"/>
      <c r="I383" s="29"/>
      <c r="J383" s="29"/>
      <c r="K383" s="29"/>
      <c r="L383" s="29"/>
      <c r="M383" s="29"/>
      <c r="N383" s="29"/>
    </row>
    <row r="384" ht="77.25" customHeight="1">
      <c r="A384" s="28"/>
      <c r="B384" s="29"/>
      <c r="C384" s="28"/>
      <c r="D384" s="29"/>
      <c r="G384" s="29"/>
      <c r="H384" s="29"/>
      <c r="I384" s="29"/>
      <c r="J384" s="29"/>
      <c r="K384" s="29"/>
      <c r="L384" s="29"/>
      <c r="M384" s="29"/>
      <c r="N384" s="29"/>
    </row>
    <row r="385" ht="77.25" customHeight="1">
      <c r="A385" s="28"/>
      <c r="B385" s="29"/>
      <c r="C385" s="28"/>
      <c r="D385" s="29"/>
      <c r="G385" s="29"/>
      <c r="H385" s="29"/>
      <c r="I385" s="29"/>
      <c r="J385" s="29"/>
      <c r="K385" s="29"/>
      <c r="L385" s="29"/>
      <c r="M385" s="29"/>
      <c r="N385" s="29"/>
    </row>
    <row r="386" ht="77.25" customHeight="1">
      <c r="A386" s="28"/>
      <c r="B386" s="29"/>
      <c r="C386" s="28"/>
      <c r="D386" s="29"/>
      <c r="G386" s="29"/>
      <c r="H386" s="29"/>
      <c r="I386" s="29"/>
      <c r="J386" s="29"/>
      <c r="K386" s="29"/>
      <c r="L386" s="29"/>
      <c r="M386" s="29"/>
      <c r="N386" s="29"/>
    </row>
    <row r="387" ht="77.25" customHeight="1">
      <c r="A387" s="28"/>
      <c r="B387" s="29"/>
      <c r="C387" s="28"/>
      <c r="D387" s="29"/>
      <c r="G387" s="29"/>
      <c r="H387" s="29"/>
      <c r="I387" s="29"/>
      <c r="J387" s="29"/>
      <c r="K387" s="29"/>
      <c r="L387" s="29"/>
      <c r="M387" s="29"/>
      <c r="N387" s="29"/>
    </row>
    <row r="388" ht="77.25" customHeight="1">
      <c r="A388" s="28"/>
      <c r="B388" s="29"/>
      <c r="C388" s="28"/>
      <c r="D388" s="29"/>
      <c r="G388" s="29"/>
      <c r="H388" s="29"/>
      <c r="I388" s="29"/>
      <c r="J388" s="29"/>
      <c r="K388" s="29"/>
      <c r="L388" s="29"/>
      <c r="M388" s="29"/>
      <c r="N388" s="29"/>
    </row>
    <row r="389" ht="77.25" customHeight="1">
      <c r="A389" s="28"/>
      <c r="B389" s="29"/>
      <c r="C389" s="28"/>
      <c r="D389" s="29"/>
      <c r="G389" s="29"/>
      <c r="H389" s="29"/>
      <c r="I389" s="29"/>
      <c r="J389" s="29"/>
      <c r="K389" s="29"/>
      <c r="L389" s="29"/>
      <c r="M389" s="29"/>
      <c r="N389" s="29"/>
    </row>
    <row r="390" ht="77.25" customHeight="1">
      <c r="A390" s="28"/>
      <c r="B390" s="29"/>
      <c r="C390" s="28"/>
      <c r="D390" s="29"/>
      <c r="G390" s="29"/>
      <c r="H390" s="29"/>
      <c r="I390" s="29"/>
      <c r="J390" s="29"/>
      <c r="K390" s="29"/>
      <c r="L390" s="29"/>
      <c r="M390" s="29"/>
      <c r="N390" s="29"/>
    </row>
    <row r="391" ht="77.25" customHeight="1">
      <c r="A391" s="28"/>
      <c r="B391" s="29"/>
      <c r="C391" s="28"/>
      <c r="D391" s="29"/>
      <c r="G391" s="29"/>
      <c r="H391" s="29"/>
      <c r="I391" s="29"/>
      <c r="J391" s="29"/>
      <c r="K391" s="29"/>
      <c r="L391" s="29"/>
      <c r="M391" s="29"/>
      <c r="N391" s="29"/>
    </row>
    <row r="392" ht="77.25" customHeight="1">
      <c r="A392" s="28"/>
      <c r="B392" s="29"/>
      <c r="C392" s="28"/>
      <c r="D392" s="29"/>
      <c r="G392" s="29"/>
      <c r="H392" s="29"/>
      <c r="I392" s="29"/>
      <c r="J392" s="29"/>
      <c r="K392" s="29"/>
      <c r="L392" s="29"/>
      <c r="M392" s="29"/>
      <c r="N392" s="29"/>
    </row>
    <row r="393" ht="77.25" customHeight="1">
      <c r="A393" s="28"/>
      <c r="B393" s="29"/>
      <c r="C393" s="28"/>
      <c r="D393" s="29"/>
      <c r="G393" s="29"/>
      <c r="H393" s="29"/>
      <c r="I393" s="29"/>
      <c r="J393" s="29"/>
      <c r="K393" s="29"/>
      <c r="L393" s="29"/>
      <c r="M393" s="29"/>
      <c r="N393" s="29"/>
    </row>
    <row r="394" ht="77.25" customHeight="1">
      <c r="A394" s="28"/>
      <c r="B394" s="29"/>
      <c r="C394" s="28"/>
      <c r="D394" s="29"/>
      <c r="G394" s="29"/>
      <c r="H394" s="29"/>
      <c r="I394" s="29"/>
      <c r="J394" s="29"/>
      <c r="K394" s="29"/>
      <c r="L394" s="29"/>
      <c r="M394" s="29"/>
      <c r="N394" s="29"/>
    </row>
    <row r="395" ht="77.25" customHeight="1">
      <c r="A395" s="28"/>
      <c r="B395" s="29"/>
      <c r="C395" s="28"/>
      <c r="D395" s="29"/>
      <c r="G395" s="29"/>
      <c r="H395" s="29"/>
      <c r="I395" s="29"/>
      <c r="J395" s="29"/>
      <c r="K395" s="29"/>
      <c r="L395" s="29"/>
      <c r="M395" s="29"/>
      <c r="N395" s="29"/>
    </row>
    <row r="396" ht="77.25" customHeight="1">
      <c r="A396" s="28"/>
      <c r="B396" s="29"/>
      <c r="C396" s="28"/>
      <c r="D396" s="29"/>
      <c r="G396" s="29"/>
      <c r="H396" s="29"/>
      <c r="I396" s="29"/>
      <c r="J396" s="29"/>
      <c r="K396" s="29"/>
      <c r="L396" s="29"/>
      <c r="M396" s="29"/>
      <c r="N396" s="29"/>
    </row>
    <row r="397" ht="77.25" customHeight="1">
      <c r="A397" s="28"/>
      <c r="B397" s="29"/>
      <c r="C397" s="28"/>
      <c r="D397" s="29"/>
      <c r="G397" s="29"/>
      <c r="H397" s="29"/>
      <c r="I397" s="29"/>
      <c r="J397" s="29"/>
      <c r="K397" s="29"/>
      <c r="L397" s="29"/>
      <c r="M397" s="29"/>
      <c r="N397" s="29"/>
    </row>
    <row r="398" ht="77.25" customHeight="1">
      <c r="A398" s="28"/>
      <c r="B398" s="29"/>
      <c r="C398" s="28"/>
      <c r="D398" s="29"/>
      <c r="G398" s="29"/>
      <c r="H398" s="29"/>
      <c r="I398" s="29"/>
      <c r="J398" s="29"/>
      <c r="K398" s="29"/>
      <c r="L398" s="29"/>
      <c r="M398" s="29"/>
      <c r="N398" s="29"/>
    </row>
    <row r="399" ht="77.25" customHeight="1">
      <c r="A399" s="28"/>
      <c r="B399" s="29"/>
      <c r="C399" s="28"/>
      <c r="D399" s="29"/>
      <c r="G399" s="29"/>
      <c r="H399" s="29"/>
      <c r="I399" s="29"/>
      <c r="J399" s="29"/>
      <c r="K399" s="29"/>
      <c r="L399" s="29"/>
      <c r="M399" s="29"/>
      <c r="N399" s="29"/>
    </row>
    <row r="400" ht="77.25" customHeight="1">
      <c r="A400" s="28"/>
      <c r="B400" s="29"/>
      <c r="C400" s="28"/>
      <c r="D400" s="29"/>
      <c r="G400" s="29"/>
      <c r="H400" s="29"/>
      <c r="I400" s="29"/>
      <c r="J400" s="29"/>
      <c r="K400" s="29"/>
      <c r="L400" s="29"/>
      <c r="M400" s="29"/>
      <c r="N400" s="29"/>
    </row>
    <row r="401" ht="77.25" customHeight="1">
      <c r="A401" s="28"/>
      <c r="B401" s="29"/>
      <c r="C401" s="28"/>
      <c r="D401" s="29"/>
      <c r="G401" s="29"/>
      <c r="H401" s="29"/>
      <c r="I401" s="29"/>
      <c r="J401" s="29"/>
      <c r="K401" s="29"/>
      <c r="L401" s="29"/>
      <c r="M401" s="29"/>
      <c r="N401" s="29"/>
    </row>
    <row r="402" ht="77.25" customHeight="1">
      <c r="A402" s="28"/>
      <c r="B402" s="29"/>
      <c r="C402" s="28"/>
      <c r="D402" s="29"/>
      <c r="G402" s="29"/>
      <c r="H402" s="29"/>
      <c r="I402" s="29"/>
      <c r="J402" s="29"/>
      <c r="K402" s="29"/>
      <c r="L402" s="29"/>
      <c r="M402" s="29"/>
      <c r="N402" s="29"/>
    </row>
    <row r="403" ht="77.25" customHeight="1">
      <c r="A403" s="28"/>
      <c r="B403" s="29"/>
      <c r="C403" s="28"/>
      <c r="D403" s="29"/>
      <c r="G403" s="29"/>
      <c r="H403" s="29"/>
      <c r="I403" s="29"/>
      <c r="J403" s="29"/>
      <c r="K403" s="29"/>
      <c r="L403" s="29"/>
      <c r="M403" s="29"/>
      <c r="N403" s="29"/>
    </row>
    <row r="404" ht="77.25" customHeight="1">
      <c r="A404" s="28"/>
      <c r="B404" s="29"/>
      <c r="C404" s="28"/>
      <c r="D404" s="29"/>
      <c r="G404" s="29"/>
      <c r="H404" s="29"/>
      <c r="I404" s="29"/>
      <c r="J404" s="29"/>
      <c r="K404" s="29"/>
      <c r="L404" s="29"/>
      <c r="M404" s="29"/>
      <c r="N404" s="29"/>
    </row>
    <row r="405" ht="77.25" customHeight="1">
      <c r="A405" s="28"/>
      <c r="B405" s="29"/>
      <c r="C405" s="28"/>
      <c r="D405" s="29"/>
      <c r="G405" s="29"/>
      <c r="H405" s="29"/>
      <c r="I405" s="29"/>
      <c r="J405" s="29"/>
      <c r="K405" s="29"/>
      <c r="L405" s="29"/>
      <c r="M405" s="29"/>
      <c r="N405" s="29"/>
    </row>
    <row r="406" ht="77.25" customHeight="1">
      <c r="A406" s="28"/>
      <c r="B406" s="29"/>
      <c r="C406" s="28"/>
      <c r="D406" s="29"/>
      <c r="G406" s="29"/>
      <c r="H406" s="29"/>
      <c r="I406" s="29"/>
      <c r="J406" s="29"/>
      <c r="K406" s="29"/>
      <c r="L406" s="29"/>
      <c r="M406" s="29"/>
      <c r="N406" s="29"/>
    </row>
    <row r="407" ht="77.25" customHeight="1">
      <c r="A407" s="28"/>
      <c r="B407" s="29"/>
      <c r="C407" s="28"/>
      <c r="D407" s="29"/>
      <c r="G407" s="29"/>
      <c r="H407" s="29"/>
      <c r="I407" s="29"/>
      <c r="J407" s="29"/>
      <c r="K407" s="29"/>
      <c r="L407" s="29"/>
      <c r="M407" s="29"/>
      <c r="N407" s="29"/>
    </row>
    <row r="408" ht="77.25" customHeight="1">
      <c r="A408" s="28"/>
      <c r="B408" s="29"/>
      <c r="C408" s="28"/>
      <c r="D408" s="29"/>
      <c r="G408" s="29"/>
      <c r="H408" s="29"/>
      <c r="I408" s="29"/>
      <c r="J408" s="29"/>
      <c r="K408" s="29"/>
      <c r="L408" s="29"/>
      <c r="M408" s="29"/>
      <c r="N408" s="29"/>
    </row>
    <row r="409" ht="77.25" customHeight="1">
      <c r="A409" s="28"/>
      <c r="B409" s="29"/>
      <c r="C409" s="28"/>
      <c r="D409" s="29"/>
      <c r="G409" s="29"/>
      <c r="H409" s="29"/>
      <c r="I409" s="29"/>
      <c r="J409" s="29"/>
      <c r="K409" s="29"/>
      <c r="L409" s="29"/>
      <c r="M409" s="29"/>
      <c r="N409" s="29"/>
    </row>
    <row r="410" ht="77.25" customHeight="1">
      <c r="A410" s="28"/>
      <c r="B410" s="29"/>
      <c r="C410" s="28"/>
      <c r="D410" s="29"/>
      <c r="G410" s="29"/>
      <c r="H410" s="29"/>
      <c r="I410" s="29"/>
      <c r="J410" s="29"/>
      <c r="K410" s="29"/>
      <c r="L410" s="29"/>
      <c r="M410" s="29"/>
      <c r="N410" s="29"/>
    </row>
    <row r="411" ht="77.25" customHeight="1">
      <c r="A411" s="28"/>
      <c r="B411" s="29"/>
      <c r="C411" s="28"/>
      <c r="D411" s="29"/>
      <c r="G411" s="29"/>
      <c r="H411" s="29"/>
      <c r="I411" s="29"/>
      <c r="J411" s="29"/>
      <c r="K411" s="29"/>
      <c r="L411" s="29"/>
      <c r="M411" s="29"/>
      <c r="N411" s="29"/>
    </row>
    <row r="412" ht="77.25" customHeight="1">
      <c r="A412" s="28"/>
      <c r="B412" s="29"/>
      <c r="C412" s="28"/>
      <c r="D412" s="29"/>
      <c r="G412" s="29"/>
      <c r="H412" s="29"/>
      <c r="I412" s="29"/>
      <c r="J412" s="29"/>
      <c r="K412" s="29"/>
      <c r="L412" s="29"/>
      <c r="M412" s="29"/>
      <c r="N412" s="29"/>
    </row>
    <row r="413" ht="77.25" customHeight="1">
      <c r="A413" s="28"/>
      <c r="B413" s="29"/>
      <c r="C413" s="28"/>
      <c r="D413" s="29"/>
      <c r="G413" s="29"/>
      <c r="H413" s="29"/>
      <c r="I413" s="29"/>
      <c r="J413" s="29"/>
      <c r="K413" s="29"/>
      <c r="L413" s="29"/>
      <c r="M413" s="29"/>
      <c r="N413" s="29"/>
    </row>
    <row r="414" ht="77.25" customHeight="1">
      <c r="A414" s="28"/>
      <c r="B414" s="29"/>
      <c r="C414" s="28"/>
      <c r="D414" s="29"/>
      <c r="G414" s="29"/>
      <c r="H414" s="29"/>
      <c r="I414" s="29"/>
      <c r="J414" s="29"/>
      <c r="K414" s="29"/>
      <c r="L414" s="29"/>
      <c r="M414" s="29"/>
      <c r="N414" s="29"/>
    </row>
    <row r="415" ht="77.25" customHeight="1">
      <c r="A415" s="28"/>
      <c r="B415" s="29"/>
      <c r="C415" s="28"/>
      <c r="D415" s="29"/>
      <c r="G415" s="29"/>
      <c r="H415" s="29"/>
      <c r="I415" s="29"/>
      <c r="J415" s="29"/>
      <c r="K415" s="29"/>
      <c r="L415" s="29"/>
      <c r="M415" s="29"/>
      <c r="N415" s="29"/>
    </row>
    <row r="416" ht="77.25" customHeight="1">
      <c r="A416" s="28"/>
      <c r="B416" s="29"/>
      <c r="C416" s="28"/>
      <c r="D416" s="29"/>
      <c r="G416" s="29"/>
      <c r="H416" s="29"/>
      <c r="I416" s="29"/>
      <c r="J416" s="29"/>
      <c r="K416" s="29"/>
      <c r="L416" s="29"/>
      <c r="M416" s="29"/>
      <c r="N416" s="29"/>
    </row>
    <row r="417" ht="77.25" customHeight="1">
      <c r="A417" s="28"/>
      <c r="B417" s="29"/>
      <c r="C417" s="28"/>
      <c r="D417" s="29"/>
      <c r="G417" s="29"/>
      <c r="H417" s="29"/>
      <c r="I417" s="29"/>
      <c r="J417" s="29"/>
      <c r="K417" s="29"/>
      <c r="L417" s="29"/>
      <c r="M417" s="29"/>
      <c r="N417" s="29"/>
    </row>
    <row r="418" ht="77.25" customHeight="1">
      <c r="A418" s="28"/>
      <c r="B418" s="29"/>
      <c r="C418" s="28"/>
      <c r="D418" s="29"/>
      <c r="G418" s="29"/>
      <c r="H418" s="29"/>
      <c r="I418" s="29"/>
      <c r="J418" s="29"/>
      <c r="K418" s="29"/>
      <c r="L418" s="29"/>
      <c r="M418" s="29"/>
      <c r="N418" s="29"/>
    </row>
    <row r="419" ht="77.25" customHeight="1">
      <c r="A419" s="28"/>
      <c r="B419" s="29"/>
      <c r="C419" s="28"/>
      <c r="D419" s="29"/>
      <c r="G419" s="29"/>
      <c r="H419" s="29"/>
      <c r="I419" s="29"/>
      <c r="J419" s="29"/>
      <c r="K419" s="29"/>
      <c r="L419" s="29"/>
      <c r="M419" s="29"/>
      <c r="N419" s="29"/>
    </row>
    <row r="420" ht="77.25" customHeight="1">
      <c r="A420" s="28"/>
      <c r="B420" s="29"/>
      <c r="C420" s="28"/>
      <c r="D420" s="29"/>
      <c r="G420" s="29"/>
      <c r="H420" s="29"/>
      <c r="I420" s="29"/>
      <c r="J420" s="29"/>
      <c r="K420" s="29"/>
      <c r="L420" s="29"/>
      <c r="M420" s="29"/>
      <c r="N420" s="29"/>
    </row>
    <row r="421" ht="77.25" customHeight="1">
      <c r="A421" s="28"/>
      <c r="B421" s="29"/>
      <c r="C421" s="28"/>
      <c r="D421" s="29"/>
      <c r="G421" s="29"/>
      <c r="H421" s="29"/>
      <c r="I421" s="29"/>
      <c r="J421" s="29"/>
      <c r="K421" s="29"/>
      <c r="L421" s="29"/>
      <c r="M421" s="29"/>
      <c r="N421" s="29"/>
    </row>
    <row r="422" ht="77.25" customHeight="1">
      <c r="A422" s="28"/>
      <c r="B422" s="29"/>
      <c r="C422" s="28"/>
      <c r="D422" s="29"/>
      <c r="G422" s="29"/>
      <c r="H422" s="29"/>
      <c r="I422" s="29"/>
      <c r="J422" s="29"/>
      <c r="K422" s="29"/>
      <c r="L422" s="29"/>
      <c r="M422" s="29"/>
      <c r="N422" s="29"/>
    </row>
    <row r="423" ht="77.25" customHeight="1">
      <c r="A423" s="28"/>
      <c r="B423" s="29"/>
      <c r="C423" s="28"/>
      <c r="D423" s="29"/>
      <c r="G423" s="29"/>
      <c r="H423" s="29"/>
      <c r="I423" s="29"/>
      <c r="J423" s="29"/>
      <c r="K423" s="29"/>
      <c r="L423" s="29"/>
      <c r="M423" s="29"/>
      <c r="N423" s="29"/>
    </row>
    <row r="424" ht="77.25" customHeight="1">
      <c r="A424" s="28"/>
      <c r="B424" s="29"/>
      <c r="C424" s="28"/>
      <c r="D424" s="29"/>
      <c r="G424" s="29"/>
      <c r="H424" s="29"/>
      <c r="I424" s="29"/>
      <c r="J424" s="29"/>
      <c r="K424" s="29"/>
      <c r="L424" s="29"/>
      <c r="M424" s="29"/>
      <c r="N424" s="29"/>
    </row>
    <row r="425" ht="77.25" customHeight="1">
      <c r="A425" s="28"/>
      <c r="B425" s="29"/>
      <c r="C425" s="28"/>
      <c r="D425" s="29"/>
      <c r="G425" s="29"/>
      <c r="H425" s="29"/>
      <c r="I425" s="29"/>
      <c r="J425" s="29"/>
      <c r="K425" s="29"/>
      <c r="L425" s="29"/>
      <c r="M425" s="29"/>
      <c r="N425" s="29"/>
    </row>
    <row r="426" ht="77.25" customHeight="1">
      <c r="A426" s="28"/>
      <c r="B426" s="29"/>
      <c r="C426" s="28"/>
      <c r="D426" s="29"/>
      <c r="G426" s="29"/>
      <c r="H426" s="29"/>
      <c r="I426" s="29"/>
      <c r="J426" s="29"/>
      <c r="K426" s="29"/>
      <c r="L426" s="29"/>
      <c r="M426" s="29"/>
      <c r="N426" s="29"/>
    </row>
    <row r="427" ht="77.25" customHeight="1">
      <c r="A427" s="28"/>
      <c r="B427" s="29"/>
      <c r="C427" s="28"/>
      <c r="D427" s="29"/>
      <c r="G427" s="29"/>
      <c r="H427" s="29"/>
      <c r="I427" s="29"/>
      <c r="J427" s="29"/>
      <c r="K427" s="29"/>
      <c r="L427" s="29"/>
      <c r="M427" s="29"/>
      <c r="N427" s="29"/>
    </row>
    <row r="428" ht="77.25" customHeight="1">
      <c r="A428" s="28"/>
      <c r="B428" s="29"/>
      <c r="C428" s="28"/>
      <c r="D428" s="29"/>
      <c r="G428" s="29"/>
      <c r="H428" s="29"/>
      <c r="I428" s="29"/>
      <c r="J428" s="29"/>
      <c r="K428" s="29"/>
      <c r="L428" s="29"/>
      <c r="M428" s="29"/>
      <c r="N428" s="29"/>
    </row>
    <row r="429" ht="77.25" customHeight="1">
      <c r="A429" s="28"/>
      <c r="B429" s="29"/>
      <c r="C429" s="28"/>
      <c r="D429" s="29"/>
      <c r="G429" s="29"/>
      <c r="H429" s="29"/>
      <c r="I429" s="29"/>
      <c r="J429" s="29"/>
      <c r="K429" s="29"/>
      <c r="L429" s="29"/>
      <c r="M429" s="29"/>
      <c r="N429" s="29"/>
    </row>
    <row r="430" ht="77.25" customHeight="1">
      <c r="A430" s="28"/>
      <c r="B430" s="29"/>
      <c r="C430" s="28"/>
      <c r="D430" s="29"/>
      <c r="G430" s="29"/>
      <c r="H430" s="29"/>
      <c r="I430" s="29"/>
      <c r="J430" s="29"/>
      <c r="K430" s="29"/>
      <c r="L430" s="29"/>
      <c r="M430" s="29"/>
      <c r="N430" s="29"/>
    </row>
    <row r="431" ht="77.25" customHeight="1">
      <c r="A431" s="28"/>
      <c r="B431" s="29"/>
      <c r="C431" s="28"/>
      <c r="D431" s="29"/>
      <c r="G431" s="29"/>
      <c r="H431" s="29"/>
      <c r="I431" s="29"/>
      <c r="J431" s="29"/>
      <c r="K431" s="29"/>
      <c r="L431" s="29"/>
      <c r="M431" s="29"/>
      <c r="N431" s="29"/>
    </row>
    <row r="432" ht="77.25" customHeight="1">
      <c r="A432" s="28"/>
      <c r="B432" s="29"/>
      <c r="C432" s="28"/>
      <c r="D432" s="29"/>
      <c r="G432" s="29"/>
      <c r="H432" s="29"/>
      <c r="I432" s="29"/>
      <c r="J432" s="29"/>
      <c r="K432" s="29"/>
      <c r="L432" s="29"/>
      <c r="M432" s="29"/>
      <c r="N432" s="29"/>
    </row>
    <row r="433" ht="77.25" customHeight="1">
      <c r="A433" s="28"/>
      <c r="B433" s="29"/>
      <c r="C433" s="28"/>
      <c r="D433" s="29"/>
      <c r="G433" s="29"/>
      <c r="H433" s="29"/>
      <c r="I433" s="29"/>
      <c r="J433" s="29"/>
      <c r="K433" s="29"/>
      <c r="L433" s="29"/>
      <c r="M433" s="29"/>
      <c r="N433" s="29"/>
    </row>
    <row r="434" ht="77.25" customHeight="1">
      <c r="A434" s="28"/>
      <c r="B434" s="29"/>
      <c r="C434" s="28"/>
      <c r="D434" s="29"/>
      <c r="G434" s="29"/>
      <c r="H434" s="29"/>
      <c r="I434" s="29"/>
      <c r="J434" s="29"/>
      <c r="K434" s="29"/>
      <c r="L434" s="29"/>
      <c r="M434" s="29"/>
      <c r="N434" s="29"/>
    </row>
    <row r="435" ht="77.25" customHeight="1">
      <c r="A435" s="28"/>
      <c r="B435" s="29"/>
      <c r="C435" s="28"/>
      <c r="D435" s="29"/>
      <c r="G435" s="29"/>
      <c r="H435" s="29"/>
      <c r="I435" s="29"/>
      <c r="J435" s="29"/>
      <c r="K435" s="29"/>
      <c r="L435" s="29"/>
      <c r="M435" s="29"/>
      <c r="N435" s="29"/>
    </row>
    <row r="436" ht="77.25" customHeight="1">
      <c r="A436" s="28"/>
      <c r="B436" s="29"/>
      <c r="C436" s="28"/>
      <c r="D436" s="29"/>
      <c r="G436" s="29"/>
      <c r="H436" s="29"/>
      <c r="I436" s="29"/>
      <c r="J436" s="29"/>
      <c r="K436" s="29"/>
      <c r="L436" s="29"/>
      <c r="M436" s="29"/>
      <c r="N436" s="29"/>
    </row>
    <row r="437" ht="77.25" customHeight="1">
      <c r="A437" s="28"/>
      <c r="B437" s="29"/>
      <c r="C437" s="28"/>
      <c r="D437" s="29"/>
      <c r="G437" s="29"/>
      <c r="H437" s="29"/>
      <c r="I437" s="29"/>
      <c r="J437" s="29"/>
      <c r="K437" s="29"/>
      <c r="L437" s="29"/>
      <c r="M437" s="29"/>
      <c r="N437" s="29"/>
    </row>
    <row r="438" ht="77.25" customHeight="1">
      <c r="A438" s="28"/>
      <c r="B438" s="29"/>
      <c r="C438" s="28"/>
      <c r="D438" s="29"/>
      <c r="G438" s="29"/>
      <c r="H438" s="29"/>
      <c r="I438" s="29"/>
      <c r="J438" s="29"/>
      <c r="K438" s="29"/>
      <c r="L438" s="29"/>
      <c r="M438" s="29"/>
      <c r="N438" s="29"/>
    </row>
    <row r="439" ht="77.25" customHeight="1">
      <c r="A439" s="28"/>
      <c r="B439" s="29"/>
      <c r="C439" s="28"/>
      <c r="D439" s="29"/>
      <c r="G439" s="29"/>
      <c r="H439" s="29"/>
      <c r="I439" s="29"/>
      <c r="J439" s="29"/>
      <c r="K439" s="29"/>
      <c r="L439" s="29"/>
      <c r="M439" s="29"/>
      <c r="N439" s="29"/>
    </row>
    <row r="440" ht="77.25" customHeight="1">
      <c r="A440" s="28"/>
      <c r="B440" s="29"/>
      <c r="C440" s="28"/>
      <c r="D440" s="29"/>
      <c r="G440" s="29"/>
      <c r="H440" s="29"/>
      <c r="I440" s="29"/>
      <c r="J440" s="29"/>
      <c r="K440" s="29"/>
      <c r="L440" s="29"/>
      <c r="M440" s="29"/>
      <c r="N440" s="29"/>
    </row>
    <row r="441" ht="77.25" customHeight="1">
      <c r="A441" s="28"/>
      <c r="B441" s="29"/>
      <c r="C441" s="28"/>
      <c r="D441" s="29"/>
      <c r="G441" s="29"/>
      <c r="H441" s="29"/>
      <c r="I441" s="29"/>
      <c r="J441" s="29"/>
      <c r="K441" s="29"/>
      <c r="L441" s="29"/>
      <c r="M441" s="29"/>
      <c r="N441" s="29"/>
    </row>
    <row r="442" ht="77.25" customHeight="1">
      <c r="A442" s="28"/>
      <c r="B442" s="29"/>
      <c r="C442" s="28"/>
      <c r="D442" s="29"/>
      <c r="G442" s="29"/>
      <c r="H442" s="29"/>
      <c r="I442" s="29"/>
      <c r="J442" s="29"/>
      <c r="K442" s="29"/>
      <c r="L442" s="29"/>
      <c r="M442" s="29"/>
      <c r="N442" s="29"/>
    </row>
    <row r="443" ht="77.25" customHeight="1">
      <c r="A443" s="28"/>
      <c r="B443" s="29"/>
      <c r="C443" s="28"/>
      <c r="D443" s="29"/>
      <c r="G443" s="29"/>
      <c r="H443" s="29"/>
      <c r="I443" s="29"/>
      <c r="J443" s="29"/>
      <c r="K443" s="29"/>
      <c r="L443" s="29"/>
      <c r="M443" s="29"/>
      <c r="N443" s="29"/>
    </row>
    <row r="444" ht="77.25" customHeight="1">
      <c r="A444" s="28"/>
      <c r="B444" s="29"/>
      <c r="C444" s="28"/>
      <c r="D444" s="29"/>
      <c r="G444" s="29"/>
      <c r="H444" s="29"/>
      <c r="I444" s="29"/>
      <c r="J444" s="29"/>
      <c r="K444" s="29"/>
      <c r="L444" s="29"/>
      <c r="M444" s="29"/>
      <c r="N444" s="29"/>
    </row>
    <row r="445" ht="77.25" customHeight="1">
      <c r="A445" s="28"/>
      <c r="B445" s="29"/>
      <c r="C445" s="28"/>
      <c r="D445" s="29"/>
      <c r="G445" s="29"/>
      <c r="H445" s="29"/>
      <c r="I445" s="29"/>
      <c r="J445" s="29"/>
      <c r="K445" s="29"/>
      <c r="L445" s="29"/>
      <c r="M445" s="29"/>
      <c r="N445" s="29"/>
    </row>
    <row r="446" ht="77.25" customHeight="1">
      <c r="A446" s="28"/>
      <c r="B446" s="29"/>
      <c r="C446" s="28"/>
      <c r="D446" s="29"/>
      <c r="G446" s="29"/>
      <c r="H446" s="29"/>
      <c r="I446" s="29"/>
      <c r="J446" s="29"/>
      <c r="K446" s="29"/>
      <c r="L446" s="29"/>
      <c r="M446" s="29"/>
      <c r="N446" s="29"/>
    </row>
    <row r="447" ht="77.25" customHeight="1">
      <c r="A447" s="28"/>
      <c r="B447" s="29"/>
      <c r="C447" s="28"/>
      <c r="D447" s="29"/>
      <c r="G447" s="29"/>
      <c r="H447" s="29"/>
      <c r="I447" s="29"/>
      <c r="J447" s="29"/>
      <c r="K447" s="29"/>
      <c r="L447" s="29"/>
      <c r="M447" s="29"/>
      <c r="N447" s="29"/>
    </row>
    <row r="448" ht="77.25" customHeight="1">
      <c r="A448" s="28"/>
      <c r="B448" s="29"/>
      <c r="C448" s="28"/>
      <c r="D448" s="29"/>
      <c r="G448" s="29"/>
      <c r="H448" s="29"/>
      <c r="I448" s="29"/>
      <c r="J448" s="29"/>
      <c r="K448" s="29"/>
      <c r="L448" s="29"/>
      <c r="M448" s="29"/>
      <c r="N448" s="29"/>
    </row>
    <row r="449" ht="77.25" customHeight="1">
      <c r="A449" s="28"/>
      <c r="B449" s="29"/>
      <c r="C449" s="28"/>
      <c r="D449" s="29"/>
      <c r="G449" s="29"/>
      <c r="H449" s="29"/>
      <c r="I449" s="29"/>
      <c r="J449" s="29"/>
      <c r="K449" s="29"/>
      <c r="L449" s="29"/>
      <c r="M449" s="29"/>
      <c r="N449" s="29"/>
    </row>
    <row r="450" ht="77.25" customHeight="1">
      <c r="A450" s="28"/>
      <c r="B450" s="29"/>
      <c r="C450" s="28"/>
      <c r="D450" s="29"/>
      <c r="G450" s="29"/>
      <c r="H450" s="29"/>
      <c r="I450" s="29"/>
      <c r="J450" s="29"/>
      <c r="K450" s="29"/>
      <c r="L450" s="29"/>
      <c r="M450" s="29"/>
      <c r="N450" s="29"/>
    </row>
    <row r="451" ht="77.25" customHeight="1">
      <c r="A451" s="28"/>
      <c r="B451" s="29"/>
      <c r="C451" s="28"/>
      <c r="D451" s="29"/>
      <c r="G451" s="29"/>
      <c r="H451" s="29"/>
      <c r="I451" s="29"/>
      <c r="J451" s="29"/>
      <c r="K451" s="29"/>
      <c r="L451" s="29"/>
      <c r="M451" s="29"/>
      <c r="N451" s="29"/>
    </row>
    <row r="452" ht="77.25" customHeight="1">
      <c r="A452" s="28"/>
      <c r="B452" s="29"/>
      <c r="C452" s="28"/>
      <c r="D452" s="29"/>
      <c r="G452" s="29"/>
      <c r="H452" s="29"/>
      <c r="I452" s="29"/>
      <c r="J452" s="29"/>
      <c r="K452" s="29"/>
      <c r="L452" s="29"/>
      <c r="M452" s="29"/>
      <c r="N452" s="29"/>
    </row>
    <row r="453" ht="77.25" customHeight="1">
      <c r="A453" s="28"/>
      <c r="B453" s="29"/>
      <c r="C453" s="28"/>
      <c r="D453" s="29"/>
      <c r="G453" s="29"/>
      <c r="H453" s="29"/>
      <c r="I453" s="29"/>
      <c r="J453" s="29"/>
      <c r="K453" s="29"/>
      <c r="L453" s="29"/>
      <c r="M453" s="29"/>
      <c r="N453" s="29"/>
    </row>
    <row r="454" ht="77.25" customHeight="1">
      <c r="A454" s="28"/>
      <c r="B454" s="29"/>
      <c r="C454" s="28"/>
      <c r="D454" s="29"/>
      <c r="G454" s="29"/>
      <c r="H454" s="29"/>
      <c r="I454" s="29"/>
      <c r="J454" s="29"/>
      <c r="K454" s="29"/>
      <c r="L454" s="29"/>
      <c r="M454" s="29"/>
      <c r="N454" s="29"/>
    </row>
    <row r="455" ht="77.25" customHeight="1">
      <c r="A455" s="28"/>
      <c r="B455" s="29"/>
      <c r="C455" s="28"/>
      <c r="D455" s="29"/>
      <c r="G455" s="29"/>
      <c r="H455" s="29"/>
      <c r="I455" s="29"/>
      <c r="J455" s="29"/>
      <c r="K455" s="29"/>
      <c r="L455" s="29"/>
      <c r="M455" s="29"/>
      <c r="N455" s="29"/>
    </row>
    <row r="456" ht="77.25" customHeight="1">
      <c r="A456" s="28"/>
      <c r="B456" s="29"/>
      <c r="C456" s="28"/>
      <c r="D456" s="29"/>
      <c r="G456" s="29"/>
      <c r="H456" s="29"/>
      <c r="I456" s="29"/>
      <c r="J456" s="29"/>
      <c r="K456" s="29"/>
      <c r="L456" s="29"/>
      <c r="M456" s="29"/>
      <c r="N456" s="29"/>
    </row>
    <row r="457" ht="77.25" customHeight="1">
      <c r="A457" s="28"/>
      <c r="B457" s="29"/>
      <c r="C457" s="28"/>
      <c r="D457" s="29"/>
      <c r="G457" s="29"/>
      <c r="H457" s="29"/>
      <c r="I457" s="29"/>
      <c r="J457" s="29"/>
      <c r="K457" s="29"/>
      <c r="L457" s="29"/>
      <c r="M457" s="29"/>
      <c r="N457" s="29"/>
    </row>
    <row r="458" ht="77.25" customHeight="1">
      <c r="A458" s="28"/>
      <c r="B458" s="29"/>
      <c r="C458" s="28"/>
      <c r="D458" s="29"/>
      <c r="G458" s="29"/>
      <c r="H458" s="29"/>
      <c r="I458" s="29"/>
      <c r="J458" s="29"/>
      <c r="K458" s="29"/>
      <c r="L458" s="29"/>
      <c r="M458" s="29"/>
      <c r="N458" s="29"/>
    </row>
    <row r="459" ht="77.25" customHeight="1">
      <c r="A459" s="28"/>
      <c r="B459" s="29"/>
      <c r="C459" s="28"/>
      <c r="D459" s="29"/>
      <c r="G459" s="29"/>
      <c r="H459" s="29"/>
      <c r="I459" s="29"/>
      <c r="J459" s="29"/>
      <c r="K459" s="29"/>
      <c r="L459" s="29"/>
      <c r="M459" s="29"/>
      <c r="N459" s="29"/>
    </row>
    <row r="460" ht="77.25" customHeight="1">
      <c r="A460" s="28"/>
      <c r="B460" s="29"/>
      <c r="C460" s="28"/>
      <c r="D460" s="29"/>
      <c r="G460" s="29"/>
      <c r="H460" s="29"/>
      <c r="I460" s="29"/>
      <c r="J460" s="29"/>
      <c r="K460" s="29"/>
      <c r="L460" s="29"/>
      <c r="M460" s="29"/>
      <c r="N460" s="29"/>
    </row>
    <row r="461" ht="77.25" customHeight="1">
      <c r="A461" s="28"/>
      <c r="B461" s="29"/>
      <c r="C461" s="28"/>
      <c r="D461" s="29"/>
      <c r="G461" s="29"/>
      <c r="H461" s="29"/>
      <c r="I461" s="29"/>
      <c r="J461" s="29"/>
      <c r="K461" s="29"/>
      <c r="L461" s="29"/>
      <c r="M461" s="29"/>
      <c r="N461" s="29"/>
    </row>
    <row r="462" ht="77.25" customHeight="1">
      <c r="A462" s="28"/>
      <c r="B462" s="29"/>
      <c r="C462" s="28"/>
      <c r="D462" s="29"/>
      <c r="G462" s="29"/>
      <c r="H462" s="29"/>
      <c r="I462" s="29"/>
      <c r="J462" s="29"/>
      <c r="K462" s="29"/>
      <c r="L462" s="29"/>
      <c r="M462" s="29"/>
      <c r="N462" s="29"/>
    </row>
    <row r="463" ht="77.25" customHeight="1">
      <c r="A463" s="28"/>
      <c r="B463" s="29"/>
      <c r="C463" s="28"/>
      <c r="D463" s="29"/>
      <c r="G463" s="29"/>
      <c r="H463" s="29"/>
      <c r="I463" s="29"/>
      <c r="J463" s="29"/>
      <c r="K463" s="29"/>
      <c r="L463" s="29"/>
      <c r="M463" s="29"/>
      <c r="N463" s="29"/>
    </row>
    <row r="464" ht="77.25" customHeight="1">
      <c r="A464" s="28"/>
      <c r="B464" s="29"/>
      <c r="C464" s="28"/>
      <c r="D464" s="29"/>
      <c r="G464" s="29"/>
      <c r="H464" s="29"/>
      <c r="I464" s="29"/>
      <c r="J464" s="29"/>
      <c r="K464" s="29"/>
      <c r="L464" s="29"/>
      <c r="M464" s="29"/>
      <c r="N464" s="29"/>
    </row>
    <row r="465" ht="77.25" customHeight="1">
      <c r="A465" s="28"/>
      <c r="B465" s="29"/>
      <c r="C465" s="28"/>
      <c r="D465" s="29"/>
      <c r="G465" s="29"/>
      <c r="H465" s="29"/>
      <c r="I465" s="29"/>
      <c r="J465" s="29"/>
      <c r="K465" s="29"/>
      <c r="L465" s="29"/>
      <c r="M465" s="29"/>
      <c r="N465" s="29"/>
    </row>
    <row r="466" ht="77.25" customHeight="1">
      <c r="A466" s="28"/>
      <c r="B466" s="29"/>
      <c r="C466" s="28"/>
      <c r="D466" s="29"/>
      <c r="G466" s="29"/>
      <c r="H466" s="29"/>
      <c r="I466" s="29"/>
      <c r="J466" s="29"/>
      <c r="K466" s="29"/>
      <c r="L466" s="29"/>
      <c r="M466" s="29"/>
      <c r="N466" s="29"/>
    </row>
    <row r="467" ht="77.25" customHeight="1">
      <c r="A467" s="28"/>
      <c r="B467" s="29"/>
      <c r="C467" s="28"/>
      <c r="D467" s="29"/>
      <c r="G467" s="29"/>
      <c r="H467" s="29"/>
      <c r="I467" s="29"/>
      <c r="J467" s="29"/>
      <c r="K467" s="29"/>
      <c r="L467" s="29"/>
      <c r="M467" s="29"/>
      <c r="N467" s="29"/>
    </row>
    <row r="468" ht="77.25" customHeight="1">
      <c r="A468" s="28"/>
      <c r="B468" s="29"/>
      <c r="C468" s="28"/>
      <c r="D468" s="29"/>
      <c r="G468" s="29"/>
      <c r="H468" s="29"/>
      <c r="I468" s="29"/>
      <c r="J468" s="29"/>
      <c r="K468" s="29"/>
      <c r="L468" s="29"/>
      <c r="M468" s="29"/>
      <c r="N468" s="29"/>
    </row>
    <row r="469" ht="77.25" customHeight="1">
      <c r="A469" s="28"/>
      <c r="B469" s="29"/>
      <c r="C469" s="28"/>
      <c r="D469" s="29"/>
      <c r="G469" s="29"/>
      <c r="H469" s="29"/>
      <c r="I469" s="29"/>
      <c r="J469" s="29"/>
      <c r="K469" s="29"/>
      <c r="L469" s="29"/>
      <c r="M469" s="29"/>
      <c r="N469" s="29"/>
    </row>
    <row r="470" ht="77.25" customHeight="1">
      <c r="A470" s="28"/>
      <c r="B470" s="29"/>
      <c r="C470" s="28"/>
      <c r="D470" s="29"/>
      <c r="G470" s="29"/>
      <c r="H470" s="29"/>
      <c r="I470" s="29"/>
      <c r="J470" s="29"/>
      <c r="K470" s="29"/>
      <c r="L470" s="29"/>
      <c r="M470" s="29"/>
      <c r="N470" s="29"/>
    </row>
    <row r="471" ht="77.25" customHeight="1">
      <c r="A471" s="28"/>
      <c r="B471" s="29"/>
      <c r="C471" s="28"/>
      <c r="D471" s="29"/>
      <c r="G471" s="29"/>
      <c r="H471" s="29"/>
      <c r="I471" s="29"/>
      <c r="J471" s="29"/>
      <c r="K471" s="29"/>
      <c r="L471" s="29"/>
      <c r="M471" s="29"/>
      <c r="N471" s="29"/>
    </row>
    <row r="472" ht="77.25" customHeight="1">
      <c r="A472" s="28"/>
      <c r="B472" s="29"/>
      <c r="C472" s="28"/>
      <c r="D472" s="29"/>
      <c r="G472" s="29"/>
      <c r="H472" s="29"/>
      <c r="I472" s="29"/>
      <c r="J472" s="29"/>
      <c r="K472" s="29"/>
      <c r="L472" s="29"/>
      <c r="M472" s="29"/>
      <c r="N472" s="29"/>
    </row>
    <row r="473" ht="77.25" customHeight="1">
      <c r="A473" s="28"/>
      <c r="B473" s="29"/>
      <c r="C473" s="28"/>
      <c r="D473" s="29"/>
      <c r="G473" s="29"/>
      <c r="H473" s="29"/>
      <c r="I473" s="29"/>
      <c r="J473" s="29"/>
      <c r="K473" s="29"/>
      <c r="L473" s="29"/>
      <c r="M473" s="29"/>
      <c r="N473" s="29"/>
    </row>
    <row r="474" ht="77.25" customHeight="1">
      <c r="A474" s="28"/>
      <c r="B474" s="29"/>
      <c r="C474" s="28"/>
      <c r="D474" s="29"/>
      <c r="G474" s="29"/>
      <c r="H474" s="29"/>
      <c r="I474" s="29"/>
      <c r="J474" s="29"/>
      <c r="K474" s="29"/>
      <c r="L474" s="29"/>
      <c r="M474" s="29"/>
      <c r="N474" s="29"/>
    </row>
    <row r="475" ht="77.25" customHeight="1">
      <c r="A475" s="28"/>
      <c r="B475" s="29"/>
      <c r="C475" s="28"/>
      <c r="D475" s="29"/>
      <c r="G475" s="29"/>
      <c r="H475" s="29"/>
      <c r="I475" s="29"/>
      <c r="J475" s="29"/>
      <c r="K475" s="29"/>
      <c r="L475" s="29"/>
      <c r="M475" s="29"/>
      <c r="N475" s="29"/>
    </row>
    <row r="476" ht="77.25" customHeight="1">
      <c r="A476" s="28"/>
      <c r="B476" s="29"/>
      <c r="C476" s="28"/>
      <c r="D476" s="29"/>
      <c r="G476" s="29"/>
      <c r="H476" s="29"/>
      <c r="I476" s="29"/>
      <c r="J476" s="29"/>
      <c r="K476" s="29"/>
      <c r="L476" s="29"/>
      <c r="M476" s="29"/>
      <c r="N476" s="29"/>
    </row>
    <row r="477" ht="77.25" customHeight="1">
      <c r="A477" s="28"/>
      <c r="B477" s="29"/>
      <c r="C477" s="28"/>
      <c r="D477" s="29"/>
      <c r="G477" s="29"/>
      <c r="H477" s="29"/>
      <c r="I477" s="29"/>
      <c r="J477" s="29"/>
      <c r="K477" s="29"/>
      <c r="L477" s="29"/>
      <c r="M477" s="29"/>
      <c r="N477" s="29"/>
    </row>
    <row r="478" ht="77.25" customHeight="1">
      <c r="A478" s="28"/>
      <c r="B478" s="29"/>
      <c r="C478" s="28"/>
      <c r="D478" s="29"/>
      <c r="G478" s="29"/>
      <c r="H478" s="29"/>
      <c r="I478" s="29"/>
      <c r="J478" s="29"/>
      <c r="K478" s="29"/>
      <c r="L478" s="29"/>
      <c r="M478" s="29"/>
      <c r="N478" s="29"/>
    </row>
    <row r="479" ht="77.25" customHeight="1">
      <c r="A479" s="28"/>
      <c r="B479" s="29"/>
      <c r="C479" s="28"/>
      <c r="D479" s="29"/>
      <c r="G479" s="29"/>
      <c r="H479" s="29"/>
      <c r="I479" s="29"/>
      <c r="J479" s="29"/>
      <c r="K479" s="29"/>
      <c r="L479" s="29"/>
      <c r="M479" s="29"/>
      <c r="N479" s="29"/>
    </row>
    <row r="480" ht="77.25" customHeight="1">
      <c r="A480" s="28"/>
      <c r="B480" s="29"/>
      <c r="C480" s="28"/>
      <c r="D480" s="29"/>
      <c r="G480" s="29"/>
      <c r="H480" s="29"/>
      <c r="I480" s="29"/>
      <c r="J480" s="29"/>
      <c r="K480" s="29"/>
      <c r="L480" s="29"/>
      <c r="M480" s="29"/>
      <c r="N480" s="29"/>
    </row>
    <row r="481" ht="77.25" customHeight="1">
      <c r="A481" s="28"/>
      <c r="B481" s="29"/>
      <c r="C481" s="28"/>
      <c r="D481" s="29"/>
      <c r="G481" s="29"/>
      <c r="H481" s="29"/>
      <c r="I481" s="29"/>
      <c r="J481" s="29"/>
      <c r="K481" s="29"/>
      <c r="L481" s="29"/>
      <c r="M481" s="29"/>
      <c r="N481" s="29"/>
    </row>
    <row r="482" ht="77.25" customHeight="1">
      <c r="A482" s="28"/>
      <c r="B482" s="29"/>
      <c r="C482" s="28"/>
      <c r="D482" s="29"/>
      <c r="G482" s="29"/>
      <c r="H482" s="29"/>
      <c r="I482" s="29"/>
      <c r="J482" s="29"/>
      <c r="K482" s="29"/>
      <c r="L482" s="29"/>
      <c r="M482" s="29"/>
      <c r="N482" s="29"/>
    </row>
    <row r="483" ht="77.25" customHeight="1">
      <c r="A483" s="28"/>
      <c r="B483" s="29"/>
      <c r="C483" s="28"/>
      <c r="D483" s="29"/>
      <c r="G483" s="29"/>
      <c r="H483" s="29"/>
      <c r="I483" s="29"/>
      <c r="J483" s="29"/>
      <c r="K483" s="29"/>
      <c r="L483" s="29"/>
      <c r="M483" s="29"/>
      <c r="N483" s="29"/>
    </row>
    <row r="484" ht="77.25" customHeight="1">
      <c r="A484" s="28"/>
      <c r="B484" s="29"/>
      <c r="C484" s="28"/>
      <c r="D484" s="29"/>
      <c r="G484" s="29"/>
      <c r="H484" s="29"/>
      <c r="I484" s="29"/>
      <c r="J484" s="29"/>
      <c r="K484" s="29"/>
      <c r="L484" s="29"/>
      <c r="M484" s="29"/>
      <c r="N484" s="29"/>
    </row>
    <row r="485" ht="77.25" customHeight="1">
      <c r="A485" s="28"/>
      <c r="B485" s="29"/>
      <c r="C485" s="28"/>
      <c r="D485" s="29"/>
      <c r="G485" s="29"/>
      <c r="H485" s="29"/>
      <c r="I485" s="29"/>
      <c r="J485" s="29"/>
      <c r="K485" s="29"/>
      <c r="L485" s="29"/>
      <c r="M485" s="29"/>
      <c r="N485" s="29"/>
    </row>
    <row r="486" ht="77.25" customHeight="1">
      <c r="A486" s="28"/>
      <c r="B486" s="29"/>
      <c r="C486" s="28"/>
      <c r="D486" s="29"/>
      <c r="G486" s="29"/>
      <c r="H486" s="29"/>
      <c r="I486" s="29"/>
      <c r="J486" s="29"/>
      <c r="K486" s="29"/>
      <c r="L486" s="29"/>
      <c r="M486" s="29"/>
      <c r="N486" s="29"/>
    </row>
    <row r="487" ht="77.25" customHeight="1">
      <c r="A487" s="28"/>
      <c r="B487" s="29"/>
      <c r="C487" s="28"/>
      <c r="D487" s="29"/>
      <c r="G487" s="29"/>
      <c r="H487" s="29"/>
      <c r="I487" s="29"/>
      <c r="J487" s="29"/>
      <c r="K487" s="29"/>
      <c r="L487" s="29"/>
      <c r="M487" s="29"/>
      <c r="N487" s="29"/>
    </row>
    <row r="488" ht="77.25" customHeight="1">
      <c r="A488" s="28"/>
      <c r="B488" s="29"/>
      <c r="C488" s="28"/>
      <c r="D488" s="29"/>
      <c r="G488" s="29"/>
      <c r="H488" s="29"/>
      <c r="I488" s="29"/>
      <c r="J488" s="29"/>
      <c r="K488" s="29"/>
      <c r="L488" s="29"/>
      <c r="M488" s="29"/>
      <c r="N488" s="29"/>
    </row>
    <row r="489" ht="77.25" customHeight="1">
      <c r="A489" s="28"/>
      <c r="B489" s="29"/>
      <c r="C489" s="28"/>
      <c r="D489" s="29"/>
      <c r="G489" s="29"/>
      <c r="H489" s="29"/>
      <c r="I489" s="29"/>
      <c r="J489" s="29"/>
      <c r="K489" s="29"/>
      <c r="L489" s="29"/>
      <c r="M489" s="29"/>
      <c r="N489" s="29"/>
    </row>
    <row r="490" ht="77.25" customHeight="1">
      <c r="A490" s="28"/>
      <c r="B490" s="29"/>
      <c r="C490" s="28"/>
      <c r="D490" s="29"/>
      <c r="G490" s="29"/>
      <c r="H490" s="29"/>
      <c r="I490" s="29"/>
      <c r="J490" s="29"/>
      <c r="K490" s="29"/>
      <c r="L490" s="29"/>
      <c r="M490" s="29"/>
      <c r="N490" s="29"/>
    </row>
    <row r="491" ht="77.25" customHeight="1">
      <c r="A491" s="28"/>
      <c r="B491" s="29"/>
      <c r="C491" s="28"/>
      <c r="D491" s="29"/>
      <c r="G491" s="29"/>
      <c r="H491" s="29"/>
      <c r="I491" s="29"/>
      <c r="J491" s="29"/>
      <c r="K491" s="29"/>
      <c r="L491" s="29"/>
      <c r="M491" s="29"/>
      <c r="N491" s="29"/>
    </row>
    <row r="492" ht="77.25" customHeight="1">
      <c r="A492" s="28"/>
      <c r="B492" s="29"/>
      <c r="C492" s="28"/>
      <c r="D492" s="29"/>
      <c r="G492" s="29"/>
      <c r="H492" s="29"/>
      <c r="I492" s="29"/>
      <c r="J492" s="29"/>
      <c r="K492" s="29"/>
      <c r="L492" s="29"/>
      <c r="M492" s="29"/>
      <c r="N492" s="29"/>
    </row>
    <row r="493" ht="77.25" customHeight="1">
      <c r="A493" s="28"/>
      <c r="B493" s="29"/>
      <c r="C493" s="28"/>
      <c r="D493" s="29"/>
      <c r="G493" s="29"/>
      <c r="H493" s="29"/>
      <c r="I493" s="29"/>
      <c r="J493" s="29"/>
      <c r="K493" s="29"/>
      <c r="L493" s="29"/>
      <c r="M493" s="29"/>
      <c r="N493" s="29"/>
    </row>
    <row r="494" ht="77.25" customHeight="1">
      <c r="A494" s="28"/>
      <c r="B494" s="29"/>
      <c r="C494" s="28"/>
      <c r="D494" s="29"/>
      <c r="G494" s="29"/>
      <c r="H494" s="29"/>
      <c r="I494" s="29"/>
      <c r="J494" s="29"/>
      <c r="K494" s="29"/>
      <c r="L494" s="29"/>
      <c r="M494" s="29"/>
      <c r="N494" s="29"/>
    </row>
    <row r="495" ht="77.25" customHeight="1">
      <c r="A495" s="28"/>
      <c r="B495" s="29"/>
      <c r="C495" s="28"/>
      <c r="D495" s="29"/>
      <c r="G495" s="29"/>
      <c r="H495" s="29"/>
      <c r="I495" s="29"/>
      <c r="J495" s="29"/>
      <c r="K495" s="29"/>
      <c r="L495" s="29"/>
      <c r="M495" s="29"/>
      <c r="N495" s="29"/>
    </row>
    <row r="496" ht="77.25" customHeight="1">
      <c r="A496" s="28"/>
      <c r="B496" s="29"/>
      <c r="C496" s="28"/>
      <c r="D496" s="29"/>
      <c r="G496" s="29"/>
      <c r="H496" s="29"/>
      <c r="I496" s="29"/>
      <c r="J496" s="29"/>
      <c r="K496" s="29"/>
      <c r="L496" s="29"/>
      <c r="M496" s="29"/>
      <c r="N496" s="29"/>
    </row>
    <row r="497" ht="77.25" customHeight="1">
      <c r="A497" s="28"/>
      <c r="B497" s="29"/>
      <c r="C497" s="28"/>
      <c r="D497" s="29"/>
      <c r="G497" s="29"/>
      <c r="H497" s="29"/>
      <c r="I497" s="29"/>
      <c r="J497" s="29"/>
      <c r="K497" s="29"/>
      <c r="L497" s="29"/>
      <c r="M497" s="29"/>
      <c r="N497" s="29"/>
    </row>
    <row r="498" ht="77.25" customHeight="1">
      <c r="A498" s="28"/>
      <c r="B498" s="29"/>
      <c r="C498" s="28"/>
      <c r="D498" s="29"/>
      <c r="G498" s="29"/>
      <c r="H498" s="29"/>
      <c r="I498" s="29"/>
      <c r="J498" s="29"/>
      <c r="K498" s="29"/>
      <c r="L498" s="29"/>
      <c r="M498" s="29"/>
      <c r="N498" s="29"/>
    </row>
    <row r="499" ht="77.25" customHeight="1">
      <c r="A499" s="28"/>
      <c r="B499" s="29"/>
      <c r="C499" s="28"/>
      <c r="D499" s="29"/>
      <c r="G499" s="29"/>
      <c r="H499" s="29"/>
      <c r="I499" s="29"/>
      <c r="J499" s="29"/>
      <c r="K499" s="29"/>
      <c r="L499" s="29"/>
      <c r="M499" s="29"/>
      <c r="N499" s="29"/>
    </row>
    <row r="500" ht="77.25" customHeight="1">
      <c r="A500" s="28"/>
      <c r="B500" s="29"/>
      <c r="C500" s="28"/>
      <c r="D500" s="29"/>
      <c r="G500" s="29"/>
      <c r="H500" s="29"/>
      <c r="I500" s="29"/>
      <c r="J500" s="29"/>
      <c r="K500" s="29"/>
      <c r="L500" s="29"/>
      <c r="M500" s="29"/>
      <c r="N500" s="29"/>
    </row>
    <row r="501" ht="77.25" customHeight="1">
      <c r="A501" s="28"/>
      <c r="B501" s="29"/>
      <c r="C501" s="28"/>
      <c r="D501" s="29"/>
      <c r="G501" s="29"/>
      <c r="H501" s="29"/>
      <c r="I501" s="29"/>
      <c r="J501" s="29"/>
      <c r="K501" s="29"/>
      <c r="L501" s="29"/>
      <c r="M501" s="29"/>
      <c r="N501" s="29"/>
    </row>
    <row r="502" ht="77.25" customHeight="1">
      <c r="A502" s="28"/>
      <c r="B502" s="29"/>
      <c r="C502" s="28"/>
      <c r="D502" s="29"/>
      <c r="G502" s="29"/>
      <c r="H502" s="29"/>
      <c r="I502" s="29"/>
      <c r="J502" s="29"/>
      <c r="K502" s="29"/>
      <c r="L502" s="29"/>
      <c r="M502" s="29"/>
      <c r="N502" s="29"/>
    </row>
    <row r="503" ht="77.25" customHeight="1">
      <c r="A503" s="28"/>
      <c r="B503" s="29"/>
      <c r="C503" s="28"/>
      <c r="D503" s="29"/>
      <c r="G503" s="29"/>
      <c r="H503" s="29"/>
      <c r="I503" s="29"/>
      <c r="J503" s="29"/>
      <c r="K503" s="29"/>
      <c r="L503" s="29"/>
      <c r="M503" s="29"/>
      <c r="N503" s="29"/>
    </row>
    <row r="504" ht="77.25" customHeight="1">
      <c r="A504" s="28"/>
      <c r="B504" s="29"/>
      <c r="C504" s="28"/>
      <c r="D504" s="29"/>
      <c r="G504" s="29"/>
      <c r="H504" s="29"/>
      <c r="I504" s="29"/>
      <c r="J504" s="29"/>
      <c r="K504" s="29"/>
      <c r="L504" s="29"/>
      <c r="M504" s="29"/>
      <c r="N504" s="29"/>
    </row>
    <row r="505" ht="77.25" customHeight="1">
      <c r="A505" s="28"/>
      <c r="B505" s="29"/>
      <c r="C505" s="28"/>
      <c r="D505" s="29"/>
      <c r="G505" s="29"/>
      <c r="H505" s="29"/>
      <c r="I505" s="29"/>
      <c r="J505" s="29"/>
      <c r="K505" s="29"/>
      <c r="L505" s="29"/>
      <c r="M505" s="29"/>
      <c r="N505" s="29"/>
    </row>
    <row r="506" ht="77.25" customHeight="1">
      <c r="A506" s="28"/>
      <c r="B506" s="29"/>
      <c r="C506" s="28"/>
      <c r="D506" s="29"/>
      <c r="G506" s="29"/>
      <c r="H506" s="29"/>
      <c r="I506" s="29"/>
      <c r="J506" s="29"/>
      <c r="K506" s="29"/>
      <c r="L506" s="29"/>
      <c r="M506" s="29"/>
      <c r="N506" s="29"/>
    </row>
    <row r="507" ht="77.25" customHeight="1">
      <c r="A507" s="28"/>
      <c r="B507" s="29"/>
      <c r="C507" s="28"/>
      <c r="D507" s="29"/>
      <c r="G507" s="29"/>
      <c r="H507" s="29"/>
      <c r="I507" s="29"/>
      <c r="J507" s="29"/>
      <c r="K507" s="29"/>
      <c r="L507" s="29"/>
      <c r="M507" s="29"/>
      <c r="N507" s="29"/>
    </row>
    <row r="508" ht="77.25" customHeight="1">
      <c r="A508" s="28"/>
      <c r="B508" s="29"/>
      <c r="C508" s="28"/>
      <c r="D508" s="29"/>
      <c r="G508" s="29"/>
      <c r="H508" s="29"/>
      <c r="I508" s="29"/>
      <c r="J508" s="29"/>
      <c r="K508" s="29"/>
      <c r="L508" s="29"/>
      <c r="M508" s="29"/>
      <c r="N508" s="29"/>
    </row>
    <row r="509" ht="77.25" customHeight="1">
      <c r="A509" s="28"/>
      <c r="B509" s="29"/>
      <c r="C509" s="28"/>
      <c r="D509" s="29"/>
      <c r="G509" s="29"/>
      <c r="H509" s="29"/>
      <c r="I509" s="29"/>
      <c r="J509" s="29"/>
      <c r="K509" s="29"/>
      <c r="L509" s="29"/>
      <c r="M509" s="29"/>
      <c r="N509" s="29"/>
    </row>
    <row r="510" ht="77.25" customHeight="1">
      <c r="A510" s="28"/>
      <c r="B510" s="29"/>
      <c r="C510" s="28"/>
      <c r="D510" s="29"/>
      <c r="G510" s="29"/>
      <c r="H510" s="29"/>
      <c r="I510" s="29"/>
      <c r="J510" s="29"/>
      <c r="K510" s="29"/>
      <c r="L510" s="29"/>
      <c r="M510" s="29"/>
      <c r="N510" s="29"/>
    </row>
    <row r="511" ht="77.25" customHeight="1">
      <c r="A511" s="28"/>
      <c r="B511" s="29"/>
      <c r="C511" s="28"/>
      <c r="D511" s="29"/>
      <c r="G511" s="29"/>
      <c r="H511" s="29"/>
      <c r="I511" s="29"/>
      <c r="J511" s="29"/>
      <c r="K511" s="29"/>
      <c r="L511" s="29"/>
      <c r="M511" s="29"/>
      <c r="N511" s="29"/>
    </row>
    <row r="512" ht="77.25" customHeight="1">
      <c r="A512" s="28"/>
      <c r="B512" s="29"/>
      <c r="C512" s="28"/>
      <c r="D512" s="29"/>
      <c r="G512" s="29"/>
      <c r="H512" s="29"/>
      <c r="I512" s="29"/>
      <c r="J512" s="29"/>
      <c r="K512" s="29"/>
      <c r="L512" s="29"/>
      <c r="M512" s="29"/>
      <c r="N512" s="29"/>
    </row>
    <row r="513" ht="77.25" customHeight="1">
      <c r="A513" s="28"/>
      <c r="B513" s="29"/>
      <c r="C513" s="28"/>
      <c r="D513" s="29"/>
      <c r="G513" s="29"/>
      <c r="H513" s="29"/>
      <c r="I513" s="29"/>
      <c r="J513" s="29"/>
      <c r="K513" s="29"/>
      <c r="L513" s="29"/>
      <c r="M513" s="29"/>
      <c r="N513" s="29"/>
    </row>
    <row r="514" ht="77.25" customHeight="1">
      <c r="A514" s="28"/>
      <c r="B514" s="29"/>
      <c r="C514" s="28"/>
      <c r="D514" s="29"/>
      <c r="G514" s="29"/>
      <c r="H514" s="29"/>
      <c r="I514" s="29"/>
      <c r="J514" s="29"/>
      <c r="K514" s="29"/>
      <c r="L514" s="29"/>
      <c r="M514" s="29"/>
      <c r="N514" s="29"/>
    </row>
    <row r="515" ht="77.25" customHeight="1">
      <c r="A515" s="28"/>
      <c r="B515" s="29"/>
      <c r="C515" s="28"/>
      <c r="D515" s="29"/>
      <c r="G515" s="29"/>
      <c r="H515" s="29"/>
      <c r="I515" s="29"/>
      <c r="J515" s="29"/>
      <c r="K515" s="29"/>
      <c r="L515" s="29"/>
      <c r="M515" s="29"/>
      <c r="N515" s="29"/>
    </row>
    <row r="516" ht="77.25" customHeight="1">
      <c r="A516" s="28"/>
      <c r="B516" s="29"/>
      <c r="C516" s="28"/>
      <c r="D516" s="29"/>
      <c r="G516" s="29"/>
      <c r="H516" s="29"/>
      <c r="I516" s="29"/>
      <c r="J516" s="29"/>
      <c r="K516" s="29"/>
      <c r="L516" s="29"/>
      <c r="M516" s="29"/>
      <c r="N516" s="29"/>
    </row>
    <row r="517" ht="77.25" customHeight="1">
      <c r="A517" s="28"/>
      <c r="B517" s="29"/>
      <c r="C517" s="28"/>
      <c r="D517" s="29"/>
      <c r="G517" s="29"/>
      <c r="H517" s="29"/>
      <c r="I517" s="29"/>
      <c r="J517" s="29"/>
      <c r="K517" s="29"/>
      <c r="L517" s="29"/>
      <c r="M517" s="29"/>
      <c r="N517" s="29"/>
    </row>
    <row r="518" ht="77.25" customHeight="1">
      <c r="A518" s="28"/>
      <c r="B518" s="29"/>
      <c r="C518" s="28"/>
      <c r="D518" s="29"/>
      <c r="G518" s="29"/>
      <c r="H518" s="29"/>
      <c r="I518" s="29"/>
      <c r="J518" s="29"/>
      <c r="K518" s="29"/>
      <c r="L518" s="29"/>
      <c r="M518" s="29"/>
      <c r="N518" s="29"/>
    </row>
    <row r="519" ht="77.25" customHeight="1">
      <c r="A519" s="28"/>
      <c r="B519" s="29"/>
      <c r="C519" s="28"/>
      <c r="D519" s="29"/>
      <c r="G519" s="29"/>
      <c r="H519" s="29"/>
      <c r="I519" s="29"/>
      <c r="J519" s="29"/>
      <c r="K519" s="29"/>
      <c r="L519" s="29"/>
      <c r="M519" s="29"/>
      <c r="N519" s="29"/>
    </row>
    <row r="520" ht="77.25" customHeight="1">
      <c r="A520" s="28"/>
      <c r="B520" s="29"/>
      <c r="C520" s="28"/>
      <c r="D520" s="29"/>
      <c r="G520" s="29"/>
      <c r="H520" s="29"/>
      <c r="I520" s="29"/>
      <c r="J520" s="29"/>
      <c r="K520" s="29"/>
      <c r="L520" s="29"/>
      <c r="M520" s="29"/>
      <c r="N520" s="29"/>
    </row>
    <row r="521" ht="77.25" customHeight="1">
      <c r="A521" s="28"/>
      <c r="B521" s="29"/>
      <c r="C521" s="28"/>
      <c r="D521" s="29"/>
      <c r="G521" s="29"/>
      <c r="H521" s="29"/>
      <c r="I521" s="29"/>
      <c r="J521" s="29"/>
      <c r="K521" s="29"/>
      <c r="L521" s="29"/>
      <c r="M521" s="29"/>
      <c r="N521" s="29"/>
    </row>
    <row r="522" ht="77.25" customHeight="1">
      <c r="A522" s="28"/>
      <c r="B522" s="29"/>
      <c r="C522" s="28"/>
      <c r="D522" s="29"/>
      <c r="G522" s="29"/>
      <c r="H522" s="29"/>
      <c r="I522" s="29"/>
      <c r="J522" s="29"/>
      <c r="K522" s="29"/>
      <c r="L522" s="29"/>
      <c r="M522" s="29"/>
      <c r="N522" s="29"/>
    </row>
    <row r="523" ht="77.25" customHeight="1">
      <c r="A523" s="28"/>
      <c r="B523" s="29"/>
      <c r="C523" s="28"/>
      <c r="D523" s="29"/>
      <c r="G523" s="29"/>
      <c r="H523" s="29"/>
      <c r="I523" s="29"/>
      <c r="J523" s="29"/>
      <c r="K523" s="29"/>
      <c r="L523" s="29"/>
      <c r="M523" s="29"/>
      <c r="N523" s="29"/>
    </row>
    <row r="524" ht="77.25" customHeight="1">
      <c r="A524" s="28"/>
      <c r="B524" s="29"/>
      <c r="C524" s="28"/>
      <c r="D524" s="29"/>
      <c r="G524" s="29"/>
      <c r="H524" s="29"/>
      <c r="I524" s="29"/>
      <c r="J524" s="29"/>
      <c r="K524" s="29"/>
      <c r="L524" s="29"/>
      <c r="M524" s="29"/>
      <c r="N524" s="29"/>
    </row>
    <row r="525" ht="77.25" customHeight="1">
      <c r="A525" s="28"/>
      <c r="B525" s="29"/>
      <c r="C525" s="28"/>
      <c r="D525" s="29"/>
      <c r="G525" s="29"/>
      <c r="H525" s="29"/>
      <c r="I525" s="29"/>
      <c r="J525" s="29"/>
      <c r="K525" s="29"/>
      <c r="L525" s="29"/>
      <c r="M525" s="29"/>
      <c r="N525" s="29"/>
    </row>
    <row r="526" ht="77.25" customHeight="1">
      <c r="A526" s="28"/>
      <c r="B526" s="29"/>
      <c r="C526" s="28"/>
      <c r="D526" s="29"/>
      <c r="G526" s="29"/>
      <c r="H526" s="29"/>
      <c r="I526" s="29"/>
      <c r="J526" s="29"/>
      <c r="K526" s="29"/>
      <c r="L526" s="29"/>
      <c r="M526" s="29"/>
      <c r="N526" s="29"/>
    </row>
    <row r="527" ht="77.25" customHeight="1">
      <c r="A527" s="28"/>
      <c r="B527" s="29"/>
      <c r="C527" s="28"/>
      <c r="D527" s="29"/>
      <c r="G527" s="29"/>
      <c r="H527" s="29"/>
      <c r="I527" s="29"/>
      <c r="J527" s="29"/>
      <c r="K527" s="29"/>
      <c r="L527" s="29"/>
      <c r="M527" s="29"/>
      <c r="N527" s="29"/>
    </row>
    <row r="528" ht="77.25" customHeight="1">
      <c r="A528" s="28"/>
      <c r="B528" s="29"/>
      <c r="C528" s="28"/>
      <c r="D528" s="29"/>
      <c r="G528" s="29"/>
      <c r="H528" s="29"/>
      <c r="I528" s="29"/>
      <c r="J528" s="29"/>
      <c r="K528" s="29"/>
      <c r="L528" s="29"/>
      <c r="M528" s="29"/>
      <c r="N528" s="29"/>
    </row>
    <row r="529" ht="77.25" customHeight="1">
      <c r="A529" s="28"/>
      <c r="B529" s="29"/>
      <c r="C529" s="28"/>
      <c r="D529" s="29"/>
      <c r="G529" s="29"/>
      <c r="H529" s="29"/>
      <c r="I529" s="29"/>
      <c r="J529" s="29"/>
      <c r="K529" s="29"/>
      <c r="L529" s="29"/>
      <c r="M529" s="29"/>
      <c r="N529" s="29"/>
    </row>
    <row r="530" ht="77.25" customHeight="1">
      <c r="A530" s="28"/>
      <c r="B530" s="29"/>
      <c r="C530" s="28"/>
      <c r="D530" s="29"/>
      <c r="G530" s="29"/>
      <c r="H530" s="29"/>
      <c r="I530" s="29"/>
      <c r="J530" s="29"/>
      <c r="K530" s="29"/>
      <c r="L530" s="29"/>
      <c r="M530" s="29"/>
      <c r="N530" s="29"/>
    </row>
    <row r="531" ht="77.25" customHeight="1">
      <c r="A531" s="28"/>
      <c r="B531" s="29"/>
      <c r="C531" s="28"/>
      <c r="D531" s="29"/>
      <c r="G531" s="29"/>
      <c r="H531" s="29"/>
      <c r="I531" s="29"/>
      <c r="J531" s="29"/>
      <c r="K531" s="29"/>
      <c r="L531" s="29"/>
      <c r="M531" s="29"/>
      <c r="N531" s="29"/>
    </row>
    <row r="532" ht="77.25" customHeight="1">
      <c r="A532" s="28"/>
      <c r="B532" s="29"/>
      <c r="C532" s="28"/>
      <c r="D532" s="29"/>
      <c r="G532" s="29"/>
      <c r="H532" s="29"/>
      <c r="I532" s="29"/>
      <c r="J532" s="29"/>
      <c r="K532" s="29"/>
      <c r="L532" s="29"/>
      <c r="M532" s="29"/>
      <c r="N532" s="29"/>
    </row>
    <row r="533" ht="77.25" customHeight="1">
      <c r="A533" s="28"/>
      <c r="B533" s="29"/>
      <c r="C533" s="28"/>
      <c r="D533" s="29"/>
      <c r="G533" s="29"/>
      <c r="H533" s="29"/>
      <c r="I533" s="29"/>
      <c r="J533" s="29"/>
      <c r="K533" s="29"/>
      <c r="L533" s="29"/>
      <c r="M533" s="29"/>
      <c r="N533" s="29"/>
    </row>
    <row r="534" ht="77.25" customHeight="1">
      <c r="A534" s="28"/>
      <c r="B534" s="29"/>
      <c r="C534" s="28"/>
      <c r="D534" s="29"/>
      <c r="G534" s="29"/>
      <c r="H534" s="29"/>
      <c r="I534" s="29"/>
      <c r="J534" s="29"/>
      <c r="K534" s="29"/>
      <c r="L534" s="29"/>
      <c r="M534" s="29"/>
      <c r="N534" s="29"/>
    </row>
    <row r="535" ht="77.25" customHeight="1">
      <c r="A535" s="28"/>
      <c r="B535" s="29"/>
      <c r="C535" s="28"/>
      <c r="D535" s="29"/>
      <c r="G535" s="29"/>
      <c r="H535" s="29"/>
      <c r="I535" s="29"/>
      <c r="J535" s="29"/>
      <c r="K535" s="29"/>
      <c r="L535" s="29"/>
      <c r="M535" s="29"/>
      <c r="N535" s="29"/>
    </row>
    <row r="536" ht="77.25" customHeight="1">
      <c r="A536" s="28"/>
      <c r="B536" s="29"/>
      <c r="C536" s="28"/>
      <c r="D536" s="29"/>
      <c r="G536" s="29"/>
      <c r="H536" s="29"/>
      <c r="I536" s="29"/>
      <c r="J536" s="29"/>
      <c r="K536" s="29"/>
      <c r="L536" s="29"/>
      <c r="M536" s="29"/>
      <c r="N536" s="29"/>
    </row>
    <row r="537" ht="77.25" customHeight="1">
      <c r="A537" s="28"/>
      <c r="B537" s="29"/>
      <c r="C537" s="28"/>
      <c r="D537" s="29"/>
      <c r="G537" s="29"/>
      <c r="H537" s="29"/>
      <c r="I537" s="29"/>
      <c r="J537" s="29"/>
      <c r="K537" s="29"/>
      <c r="L537" s="29"/>
      <c r="M537" s="29"/>
      <c r="N537" s="29"/>
    </row>
    <row r="538" ht="77.25" customHeight="1">
      <c r="A538" s="28"/>
      <c r="B538" s="29"/>
      <c r="C538" s="28"/>
      <c r="D538" s="29"/>
      <c r="G538" s="29"/>
      <c r="H538" s="29"/>
      <c r="I538" s="29"/>
      <c r="J538" s="29"/>
      <c r="K538" s="29"/>
      <c r="L538" s="29"/>
      <c r="M538" s="29"/>
      <c r="N538" s="29"/>
    </row>
    <row r="539" ht="77.25" customHeight="1">
      <c r="A539" s="28"/>
      <c r="B539" s="29"/>
      <c r="C539" s="28"/>
      <c r="D539" s="29"/>
      <c r="G539" s="29"/>
      <c r="H539" s="29"/>
      <c r="I539" s="29"/>
      <c r="J539" s="29"/>
      <c r="K539" s="29"/>
      <c r="L539" s="29"/>
      <c r="M539" s="29"/>
      <c r="N539" s="29"/>
    </row>
    <row r="540" ht="77.25" customHeight="1">
      <c r="A540" s="28"/>
      <c r="B540" s="29"/>
      <c r="C540" s="28"/>
      <c r="D540" s="29"/>
      <c r="G540" s="29"/>
      <c r="H540" s="29"/>
      <c r="I540" s="29"/>
      <c r="J540" s="29"/>
      <c r="K540" s="29"/>
      <c r="L540" s="29"/>
      <c r="M540" s="29"/>
      <c r="N540" s="29"/>
    </row>
    <row r="541" ht="77.25" customHeight="1">
      <c r="A541" s="28"/>
      <c r="B541" s="29"/>
      <c r="C541" s="28"/>
      <c r="D541" s="29"/>
      <c r="G541" s="29"/>
      <c r="H541" s="29"/>
      <c r="I541" s="29"/>
      <c r="J541" s="29"/>
      <c r="K541" s="29"/>
      <c r="L541" s="29"/>
      <c r="M541" s="29"/>
      <c r="N541" s="29"/>
    </row>
    <row r="542" ht="77.25" customHeight="1">
      <c r="A542" s="28"/>
      <c r="B542" s="29"/>
      <c r="C542" s="28"/>
      <c r="D542" s="29"/>
      <c r="G542" s="29"/>
      <c r="H542" s="29"/>
      <c r="I542" s="29"/>
      <c r="J542" s="29"/>
      <c r="K542" s="29"/>
      <c r="L542" s="29"/>
      <c r="M542" s="29"/>
      <c r="N542" s="29"/>
    </row>
    <row r="543" ht="77.25" customHeight="1">
      <c r="A543" s="28"/>
      <c r="B543" s="29"/>
      <c r="C543" s="28"/>
      <c r="D543" s="29"/>
      <c r="G543" s="29"/>
      <c r="H543" s="29"/>
      <c r="I543" s="29"/>
      <c r="J543" s="29"/>
      <c r="K543" s="29"/>
      <c r="L543" s="29"/>
      <c r="M543" s="29"/>
      <c r="N543" s="29"/>
    </row>
    <row r="544" ht="77.25" customHeight="1">
      <c r="A544" s="28"/>
      <c r="B544" s="29"/>
      <c r="C544" s="28"/>
      <c r="D544" s="29"/>
      <c r="G544" s="29"/>
      <c r="H544" s="29"/>
      <c r="I544" s="29"/>
      <c r="J544" s="29"/>
      <c r="K544" s="29"/>
      <c r="L544" s="29"/>
      <c r="M544" s="29"/>
      <c r="N544" s="29"/>
    </row>
    <row r="545" ht="77.25" customHeight="1">
      <c r="A545" s="28"/>
      <c r="B545" s="29"/>
      <c r="C545" s="28"/>
      <c r="D545" s="29"/>
      <c r="G545" s="29"/>
      <c r="H545" s="29"/>
      <c r="I545" s="29"/>
      <c r="J545" s="29"/>
      <c r="K545" s="29"/>
      <c r="L545" s="29"/>
      <c r="M545" s="29"/>
      <c r="N545" s="29"/>
    </row>
    <row r="546" ht="77.25" customHeight="1">
      <c r="A546" s="28"/>
      <c r="B546" s="29"/>
      <c r="C546" s="28"/>
      <c r="D546" s="29"/>
      <c r="G546" s="29"/>
      <c r="H546" s="29"/>
      <c r="I546" s="29"/>
      <c r="J546" s="29"/>
      <c r="K546" s="29"/>
      <c r="L546" s="29"/>
      <c r="M546" s="29"/>
      <c r="N546" s="29"/>
    </row>
    <row r="547" ht="77.25" customHeight="1">
      <c r="A547" s="28"/>
      <c r="B547" s="29"/>
      <c r="C547" s="28"/>
      <c r="D547" s="29"/>
      <c r="G547" s="29"/>
      <c r="H547" s="29"/>
      <c r="I547" s="29"/>
      <c r="J547" s="29"/>
      <c r="K547" s="29"/>
      <c r="L547" s="29"/>
      <c r="M547" s="29"/>
      <c r="N547" s="29"/>
    </row>
    <row r="548" ht="77.25" customHeight="1">
      <c r="A548" s="28"/>
      <c r="B548" s="29"/>
      <c r="C548" s="28"/>
      <c r="D548" s="29"/>
      <c r="G548" s="29"/>
      <c r="H548" s="29"/>
      <c r="I548" s="29"/>
      <c r="J548" s="29"/>
      <c r="K548" s="29"/>
      <c r="L548" s="29"/>
      <c r="M548" s="29"/>
      <c r="N548" s="29"/>
    </row>
    <row r="549" ht="77.25" customHeight="1">
      <c r="A549" s="28"/>
      <c r="B549" s="29"/>
      <c r="C549" s="28"/>
      <c r="D549" s="29"/>
      <c r="G549" s="29"/>
      <c r="H549" s="29"/>
      <c r="I549" s="29"/>
      <c r="J549" s="29"/>
      <c r="K549" s="29"/>
      <c r="L549" s="29"/>
      <c r="M549" s="29"/>
      <c r="N549" s="29"/>
    </row>
    <row r="550" ht="77.25" customHeight="1">
      <c r="A550" s="28"/>
      <c r="B550" s="29"/>
      <c r="C550" s="28"/>
      <c r="D550" s="29"/>
      <c r="G550" s="29"/>
      <c r="H550" s="29"/>
      <c r="I550" s="29"/>
      <c r="J550" s="29"/>
      <c r="K550" s="29"/>
      <c r="L550" s="29"/>
      <c r="M550" s="29"/>
      <c r="N550" s="29"/>
    </row>
    <row r="551" ht="77.25" customHeight="1">
      <c r="A551" s="28"/>
      <c r="B551" s="29"/>
      <c r="C551" s="28"/>
      <c r="D551" s="29"/>
      <c r="G551" s="29"/>
      <c r="H551" s="29"/>
      <c r="I551" s="29"/>
      <c r="J551" s="29"/>
      <c r="K551" s="29"/>
      <c r="L551" s="29"/>
      <c r="M551" s="29"/>
      <c r="N551" s="29"/>
    </row>
    <row r="552" ht="77.25" customHeight="1">
      <c r="A552" s="28"/>
      <c r="B552" s="29"/>
      <c r="C552" s="28"/>
      <c r="D552" s="29"/>
      <c r="G552" s="29"/>
      <c r="H552" s="29"/>
      <c r="I552" s="29"/>
      <c r="J552" s="29"/>
      <c r="K552" s="29"/>
      <c r="L552" s="29"/>
      <c r="M552" s="29"/>
      <c r="N552" s="29"/>
    </row>
    <row r="553" ht="77.25" customHeight="1">
      <c r="A553" s="28"/>
      <c r="B553" s="29"/>
      <c r="C553" s="28"/>
      <c r="D553" s="29"/>
      <c r="G553" s="29"/>
      <c r="H553" s="29"/>
      <c r="I553" s="29"/>
      <c r="J553" s="29"/>
      <c r="K553" s="29"/>
      <c r="L553" s="29"/>
      <c r="M553" s="29"/>
      <c r="N553" s="29"/>
    </row>
    <row r="554" ht="77.25" customHeight="1">
      <c r="A554" s="28"/>
      <c r="B554" s="29"/>
      <c r="C554" s="28"/>
      <c r="D554" s="29"/>
      <c r="G554" s="29"/>
      <c r="H554" s="29"/>
      <c r="I554" s="29"/>
      <c r="J554" s="29"/>
      <c r="K554" s="29"/>
      <c r="L554" s="29"/>
      <c r="M554" s="29"/>
      <c r="N554" s="29"/>
    </row>
    <row r="555" ht="77.25" customHeight="1">
      <c r="A555" s="28"/>
      <c r="B555" s="29"/>
      <c r="C555" s="28"/>
      <c r="D555" s="29"/>
      <c r="G555" s="29"/>
      <c r="H555" s="29"/>
      <c r="I555" s="29"/>
      <c r="J555" s="29"/>
      <c r="K555" s="29"/>
      <c r="L555" s="29"/>
      <c r="M555" s="29"/>
      <c r="N555" s="29"/>
    </row>
    <row r="556" ht="77.25" customHeight="1">
      <c r="A556" s="28"/>
      <c r="B556" s="29"/>
      <c r="C556" s="28"/>
      <c r="D556" s="29"/>
      <c r="G556" s="29"/>
      <c r="H556" s="29"/>
      <c r="I556" s="29"/>
      <c r="J556" s="29"/>
      <c r="K556" s="29"/>
      <c r="L556" s="29"/>
      <c r="M556" s="29"/>
      <c r="N556" s="29"/>
    </row>
    <row r="557" ht="77.25" customHeight="1">
      <c r="A557" s="28"/>
      <c r="B557" s="29"/>
      <c r="C557" s="28"/>
      <c r="D557" s="29"/>
      <c r="G557" s="29"/>
      <c r="H557" s="29"/>
      <c r="I557" s="29"/>
      <c r="J557" s="29"/>
      <c r="K557" s="29"/>
      <c r="L557" s="29"/>
      <c r="M557" s="29"/>
      <c r="N557" s="29"/>
    </row>
    <row r="558" ht="77.25" customHeight="1">
      <c r="A558" s="28"/>
      <c r="B558" s="29"/>
      <c r="C558" s="28"/>
      <c r="D558" s="29"/>
      <c r="G558" s="29"/>
      <c r="H558" s="29"/>
      <c r="I558" s="29"/>
      <c r="J558" s="29"/>
      <c r="K558" s="29"/>
      <c r="L558" s="29"/>
      <c r="M558" s="29"/>
      <c r="N558" s="29"/>
    </row>
    <row r="559" ht="77.25" customHeight="1">
      <c r="A559" s="28"/>
      <c r="B559" s="29"/>
      <c r="C559" s="28"/>
      <c r="D559" s="29"/>
      <c r="G559" s="29"/>
      <c r="H559" s="29"/>
      <c r="I559" s="29"/>
      <c r="J559" s="29"/>
      <c r="K559" s="29"/>
      <c r="L559" s="29"/>
      <c r="M559" s="29"/>
      <c r="N559" s="29"/>
    </row>
    <row r="560" ht="77.25" customHeight="1">
      <c r="A560" s="28"/>
      <c r="B560" s="29"/>
      <c r="C560" s="28"/>
      <c r="D560" s="29"/>
      <c r="G560" s="29"/>
      <c r="H560" s="29"/>
      <c r="I560" s="29"/>
      <c r="J560" s="29"/>
      <c r="K560" s="29"/>
      <c r="L560" s="29"/>
      <c r="M560" s="29"/>
      <c r="N560" s="29"/>
    </row>
    <row r="561" ht="77.25" customHeight="1">
      <c r="A561" s="28"/>
      <c r="B561" s="29"/>
      <c r="C561" s="28"/>
      <c r="D561" s="29"/>
      <c r="G561" s="29"/>
      <c r="H561" s="29"/>
      <c r="I561" s="29"/>
      <c r="J561" s="29"/>
      <c r="K561" s="29"/>
      <c r="L561" s="29"/>
      <c r="M561" s="29"/>
      <c r="N561" s="29"/>
    </row>
    <row r="562" ht="77.25" customHeight="1">
      <c r="A562" s="28"/>
      <c r="B562" s="29"/>
      <c r="C562" s="28"/>
      <c r="D562" s="29"/>
      <c r="G562" s="29"/>
      <c r="H562" s="29"/>
      <c r="I562" s="29"/>
      <c r="J562" s="29"/>
      <c r="K562" s="29"/>
      <c r="L562" s="29"/>
      <c r="M562" s="29"/>
      <c r="N562" s="29"/>
    </row>
    <row r="563" ht="77.25" customHeight="1">
      <c r="A563" s="28"/>
      <c r="B563" s="29"/>
      <c r="C563" s="28"/>
      <c r="D563" s="29"/>
      <c r="G563" s="29"/>
      <c r="H563" s="29"/>
      <c r="I563" s="29"/>
      <c r="J563" s="29"/>
      <c r="K563" s="29"/>
      <c r="L563" s="29"/>
      <c r="M563" s="29"/>
      <c r="N563" s="29"/>
    </row>
    <row r="564" ht="77.25" customHeight="1">
      <c r="A564" s="28"/>
      <c r="B564" s="29"/>
      <c r="C564" s="28"/>
      <c r="D564" s="29"/>
      <c r="G564" s="29"/>
      <c r="H564" s="29"/>
      <c r="I564" s="29"/>
      <c r="J564" s="29"/>
      <c r="K564" s="29"/>
      <c r="L564" s="29"/>
      <c r="M564" s="29"/>
      <c r="N564" s="29"/>
    </row>
    <row r="565" ht="77.25" customHeight="1">
      <c r="A565" s="28"/>
      <c r="B565" s="29"/>
      <c r="C565" s="28"/>
      <c r="D565" s="29"/>
      <c r="G565" s="29"/>
      <c r="H565" s="29"/>
      <c r="I565" s="29"/>
      <c r="J565" s="29"/>
      <c r="K565" s="29"/>
      <c r="L565" s="29"/>
      <c r="M565" s="29"/>
      <c r="N565" s="29"/>
    </row>
    <row r="566" ht="77.25" customHeight="1">
      <c r="A566" s="28"/>
      <c r="B566" s="29"/>
      <c r="C566" s="28"/>
      <c r="D566" s="29"/>
      <c r="G566" s="29"/>
      <c r="H566" s="29"/>
      <c r="I566" s="29"/>
      <c r="J566" s="29"/>
      <c r="K566" s="29"/>
      <c r="L566" s="29"/>
      <c r="M566" s="29"/>
      <c r="N566" s="29"/>
    </row>
    <row r="567" ht="77.25" customHeight="1">
      <c r="A567" s="28"/>
      <c r="B567" s="29"/>
      <c r="C567" s="28"/>
      <c r="D567" s="29"/>
      <c r="G567" s="29"/>
      <c r="H567" s="29"/>
      <c r="I567" s="29"/>
      <c r="J567" s="29"/>
      <c r="K567" s="29"/>
      <c r="L567" s="29"/>
      <c r="M567" s="29"/>
      <c r="N567" s="29"/>
    </row>
    <row r="568" ht="77.25" customHeight="1">
      <c r="A568" s="28"/>
      <c r="B568" s="29"/>
      <c r="C568" s="28"/>
      <c r="D568" s="29"/>
      <c r="G568" s="29"/>
      <c r="H568" s="29"/>
      <c r="I568" s="29"/>
      <c r="J568" s="29"/>
      <c r="K568" s="29"/>
      <c r="L568" s="29"/>
      <c r="M568" s="29"/>
      <c r="N568" s="29"/>
    </row>
    <row r="569" ht="77.25" customHeight="1">
      <c r="A569" s="28"/>
      <c r="B569" s="29"/>
      <c r="C569" s="28"/>
      <c r="D569" s="29"/>
      <c r="G569" s="29"/>
      <c r="H569" s="29"/>
      <c r="I569" s="29"/>
      <c r="J569" s="29"/>
      <c r="K569" s="29"/>
      <c r="L569" s="29"/>
      <c r="M569" s="29"/>
      <c r="N569" s="29"/>
    </row>
    <row r="570" ht="77.25" customHeight="1">
      <c r="A570" s="28"/>
      <c r="B570" s="29"/>
      <c r="C570" s="28"/>
      <c r="D570" s="29"/>
      <c r="G570" s="29"/>
      <c r="H570" s="29"/>
      <c r="I570" s="29"/>
      <c r="J570" s="29"/>
      <c r="K570" s="29"/>
      <c r="L570" s="29"/>
      <c r="M570" s="29"/>
      <c r="N570" s="29"/>
    </row>
    <row r="571" ht="77.25" customHeight="1">
      <c r="A571" s="28"/>
      <c r="B571" s="29"/>
      <c r="C571" s="28"/>
      <c r="D571" s="29"/>
      <c r="G571" s="29"/>
      <c r="H571" s="29"/>
      <c r="I571" s="29"/>
      <c r="J571" s="29"/>
      <c r="K571" s="29"/>
      <c r="L571" s="29"/>
      <c r="M571" s="29"/>
      <c r="N571" s="29"/>
    </row>
    <row r="572" ht="77.25" customHeight="1">
      <c r="A572" s="28"/>
      <c r="B572" s="29"/>
      <c r="C572" s="28"/>
      <c r="D572" s="29"/>
      <c r="G572" s="29"/>
      <c r="H572" s="29"/>
      <c r="I572" s="29"/>
      <c r="J572" s="29"/>
      <c r="K572" s="29"/>
      <c r="L572" s="29"/>
      <c r="M572" s="29"/>
      <c r="N572" s="29"/>
    </row>
    <row r="573" ht="77.25" customHeight="1">
      <c r="A573" s="28"/>
      <c r="B573" s="29"/>
      <c r="C573" s="28"/>
      <c r="D573" s="29"/>
      <c r="G573" s="29"/>
      <c r="H573" s="29"/>
      <c r="I573" s="29"/>
      <c r="J573" s="29"/>
      <c r="K573" s="29"/>
      <c r="L573" s="29"/>
      <c r="M573" s="29"/>
      <c r="N573" s="29"/>
    </row>
    <row r="574" ht="77.25" customHeight="1">
      <c r="A574" s="28"/>
      <c r="B574" s="29"/>
      <c r="C574" s="28"/>
      <c r="D574" s="29"/>
      <c r="G574" s="29"/>
      <c r="H574" s="29"/>
      <c r="I574" s="29"/>
      <c r="J574" s="29"/>
      <c r="K574" s="29"/>
      <c r="L574" s="29"/>
      <c r="M574" s="29"/>
      <c r="N574" s="29"/>
    </row>
    <row r="575" ht="77.25" customHeight="1">
      <c r="A575" s="28"/>
      <c r="B575" s="29"/>
      <c r="C575" s="28"/>
      <c r="D575" s="29"/>
      <c r="G575" s="29"/>
      <c r="H575" s="29"/>
      <c r="I575" s="29"/>
      <c r="J575" s="29"/>
      <c r="K575" s="29"/>
      <c r="L575" s="29"/>
      <c r="M575" s="29"/>
      <c r="N575" s="29"/>
    </row>
    <row r="576" ht="77.25" customHeight="1">
      <c r="A576" s="28"/>
      <c r="B576" s="29"/>
      <c r="C576" s="28"/>
      <c r="D576" s="29"/>
      <c r="G576" s="29"/>
      <c r="H576" s="29"/>
      <c r="I576" s="29"/>
      <c r="J576" s="29"/>
      <c r="K576" s="29"/>
      <c r="L576" s="29"/>
      <c r="M576" s="29"/>
      <c r="N576" s="29"/>
    </row>
    <row r="577" ht="77.25" customHeight="1">
      <c r="A577" s="28"/>
      <c r="B577" s="29"/>
      <c r="C577" s="28"/>
      <c r="D577" s="29"/>
      <c r="G577" s="29"/>
      <c r="H577" s="29"/>
      <c r="I577" s="29"/>
      <c r="J577" s="29"/>
      <c r="K577" s="29"/>
      <c r="L577" s="29"/>
      <c r="M577" s="29"/>
      <c r="N577" s="29"/>
    </row>
    <row r="578" ht="77.25" customHeight="1">
      <c r="A578" s="28"/>
      <c r="B578" s="29"/>
      <c r="C578" s="28"/>
      <c r="D578" s="29"/>
      <c r="G578" s="29"/>
      <c r="H578" s="29"/>
      <c r="I578" s="29"/>
      <c r="J578" s="29"/>
      <c r="K578" s="29"/>
      <c r="L578" s="29"/>
      <c r="M578" s="29"/>
      <c r="N578" s="29"/>
    </row>
    <row r="579" ht="77.25" customHeight="1">
      <c r="A579" s="28"/>
      <c r="B579" s="29"/>
      <c r="C579" s="28"/>
      <c r="D579" s="29"/>
      <c r="G579" s="29"/>
      <c r="H579" s="29"/>
      <c r="I579" s="29"/>
      <c r="J579" s="29"/>
      <c r="K579" s="29"/>
      <c r="L579" s="29"/>
      <c r="M579" s="29"/>
      <c r="N579" s="29"/>
    </row>
    <row r="580" ht="77.25" customHeight="1">
      <c r="A580" s="28"/>
      <c r="B580" s="29"/>
      <c r="C580" s="28"/>
      <c r="D580" s="29"/>
      <c r="G580" s="29"/>
      <c r="H580" s="29"/>
      <c r="I580" s="29"/>
      <c r="J580" s="29"/>
      <c r="K580" s="29"/>
      <c r="L580" s="29"/>
      <c r="M580" s="29"/>
      <c r="N580" s="29"/>
    </row>
    <row r="581" ht="77.25" customHeight="1">
      <c r="A581" s="28"/>
      <c r="B581" s="29"/>
      <c r="C581" s="28"/>
      <c r="D581" s="29"/>
      <c r="G581" s="29"/>
      <c r="H581" s="29"/>
      <c r="I581" s="29"/>
      <c r="J581" s="29"/>
      <c r="K581" s="29"/>
      <c r="L581" s="29"/>
      <c r="M581" s="29"/>
      <c r="N581" s="29"/>
    </row>
    <row r="582" ht="77.25" customHeight="1">
      <c r="A582" s="28"/>
      <c r="B582" s="29"/>
      <c r="C582" s="28"/>
      <c r="D582" s="29"/>
      <c r="G582" s="29"/>
      <c r="H582" s="29"/>
      <c r="I582" s="29"/>
      <c r="J582" s="29"/>
      <c r="K582" s="29"/>
      <c r="L582" s="29"/>
      <c r="M582" s="29"/>
      <c r="N582" s="29"/>
    </row>
    <row r="583" ht="77.25" customHeight="1">
      <c r="A583" s="28"/>
      <c r="B583" s="29"/>
      <c r="C583" s="28"/>
      <c r="D583" s="29"/>
      <c r="G583" s="29"/>
      <c r="H583" s="29"/>
      <c r="I583" s="29"/>
      <c r="J583" s="29"/>
      <c r="K583" s="29"/>
      <c r="L583" s="29"/>
      <c r="M583" s="29"/>
      <c r="N583" s="29"/>
    </row>
    <row r="584" ht="77.25" customHeight="1">
      <c r="A584" s="28"/>
      <c r="B584" s="29"/>
      <c r="C584" s="28"/>
      <c r="D584" s="29"/>
      <c r="G584" s="29"/>
      <c r="H584" s="29"/>
      <c r="I584" s="29"/>
      <c r="J584" s="29"/>
      <c r="K584" s="29"/>
      <c r="L584" s="29"/>
      <c r="M584" s="29"/>
      <c r="N584" s="29"/>
    </row>
    <row r="585" ht="77.25" customHeight="1">
      <c r="A585" s="28"/>
      <c r="B585" s="29"/>
      <c r="C585" s="28"/>
      <c r="D585" s="29"/>
      <c r="G585" s="29"/>
      <c r="H585" s="29"/>
      <c r="I585" s="29"/>
      <c r="J585" s="29"/>
      <c r="K585" s="29"/>
      <c r="L585" s="29"/>
      <c r="M585" s="29"/>
      <c r="N585" s="29"/>
    </row>
    <row r="586" ht="77.25" customHeight="1">
      <c r="A586" s="28"/>
      <c r="B586" s="29"/>
      <c r="C586" s="28"/>
      <c r="D586" s="29"/>
      <c r="G586" s="29"/>
      <c r="H586" s="29"/>
      <c r="I586" s="29"/>
      <c r="J586" s="29"/>
      <c r="K586" s="29"/>
      <c r="L586" s="29"/>
      <c r="M586" s="29"/>
      <c r="N586" s="29"/>
    </row>
    <row r="587" ht="77.25" customHeight="1">
      <c r="A587" s="28"/>
      <c r="B587" s="29"/>
      <c r="C587" s="28"/>
      <c r="D587" s="29"/>
      <c r="G587" s="29"/>
      <c r="H587" s="29"/>
      <c r="I587" s="29"/>
      <c r="J587" s="29"/>
      <c r="K587" s="29"/>
      <c r="L587" s="29"/>
      <c r="M587" s="29"/>
      <c r="N587" s="29"/>
    </row>
    <row r="588" ht="77.25" customHeight="1">
      <c r="A588" s="28"/>
      <c r="B588" s="29"/>
      <c r="C588" s="28"/>
      <c r="D588" s="29"/>
      <c r="G588" s="29"/>
      <c r="H588" s="29"/>
      <c r="I588" s="29"/>
      <c r="J588" s="29"/>
      <c r="K588" s="29"/>
      <c r="L588" s="29"/>
      <c r="M588" s="29"/>
      <c r="N588" s="29"/>
    </row>
    <row r="589" ht="77.25" customHeight="1">
      <c r="A589" s="28"/>
      <c r="B589" s="29"/>
      <c r="C589" s="28"/>
      <c r="D589" s="29"/>
      <c r="G589" s="29"/>
      <c r="H589" s="29"/>
      <c r="I589" s="29"/>
      <c r="J589" s="29"/>
      <c r="K589" s="29"/>
      <c r="L589" s="29"/>
      <c r="M589" s="29"/>
      <c r="N589" s="29"/>
    </row>
    <row r="590" ht="77.25" customHeight="1">
      <c r="A590" s="28"/>
      <c r="B590" s="29"/>
      <c r="C590" s="28"/>
      <c r="D590" s="29"/>
      <c r="G590" s="29"/>
      <c r="H590" s="29"/>
      <c r="I590" s="29"/>
      <c r="J590" s="29"/>
      <c r="K590" s="29"/>
      <c r="L590" s="29"/>
      <c r="M590" s="29"/>
      <c r="N590" s="29"/>
    </row>
    <row r="591" ht="77.25" customHeight="1">
      <c r="A591" s="28"/>
      <c r="B591" s="29"/>
      <c r="C591" s="28"/>
      <c r="D591" s="29"/>
      <c r="G591" s="29"/>
      <c r="H591" s="29"/>
      <c r="I591" s="29"/>
      <c r="J591" s="29"/>
      <c r="K591" s="29"/>
      <c r="L591" s="29"/>
      <c r="M591" s="29"/>
      <c r="N591" s="29"/>
    </row>
    <row r="592" ht="77.25" customHeight="1">
      <c r="A592" s="28"/>
      <c r="B592" s="29"/>
      <c r="C592" s="28"/>
      <c r="D592" s="29"/>
      <c r="G592" s="29"/>
      <c r="H592" s="29"/>
      <c r="I592" s="29"/>
      <c r="J592" s="29"/>
      <c r="K592" s="29"/>
      <c r="L592" s="29"/>
      <c r="M592" s="29"/>
      <c r="N592" s="29"/>
    </row>
    <row r="593" ht="77.25" customHeight="1">
      <c r="A593" s="28"/>
      <c r="B593" s="29"/>
      <c r="C593" s="28"/>
      <c r="D593" s="29"/>
      <c r="G593" s="29"/>
      <c r="H593" s="29"/>
      <c r="I593" s="29"/>
      <c r="J593" s="29"/>
      <c r="K593" s="29"/>
      <c r="L593" s="29"/>
      <c r="M593" s="29"/>
      <c r="N593" s="29"/>
    </row>
    <row r="594" ht="77.25" customHeight="1">
      <c r="A594" s="28"/>
      <c r="B594" s="29"/>
      <c r="C594" s="28"/>
      <c r="D594" s="29"/>
      <c r="G594" s="29"/>
      <c r="H594" s="29"/>
      <c r="I594" s="29"/>
      <c r="J594" s="29"/>
      <c r="K594" s="29"/>
      <c r="L594" s="29"/>
      <c r="M594" s="29"/>
      <c r="N594" s="29"/>
    </row>
    <row r="595" ht="77.25" customHeight="1">
      <c r="A595" s="28"/>
      <c r="B595" s="29"/>
      <c r="C595" s="28"/>
      <c r="D595" s="29"/>
      <c r="G595" s="29"/>
      <c r="H595" s="29"/>
      <c r="I595" s="29"/>
      <c r="J595" s="29"/>
      <c r="K595" s="29"/>
      <c r="L595" s="29"/>
      <c r="M595" s="29"/>
      <c r="N595" s="29"/>
    </row>
    <row r="596" ht="77.25" customHeight="1">
      <c r="A596" s="28"/>
      <c r="B596" s="29"/>
      <c r="C596" s="28"/>
      <c r="D596" s="29"/>
      <c r="G596" s="29"/>
      <c r="H596" s="29"/>
      <c r="I596" s="29"/>
      <c r="J596" s="29"/>
      <c r="K596" s="29"/>
      <c r="L596" s="29"/>
      <c r="M596" s="29"/>
      <c r="N596" s="29"/>
    </row>
    <row r="597" ht="77.25" customHeight="1">
      <c r="A597" s="28"/>
      <c r="B597" s="29"/>
      <c r="C597" s="28"/>
      <c r="D597" s="29"/>
      <c r="G597" s="29"/>
      <c r="H597" s="29"/>
      <c r="I597" s="29"/>
      <c r="J597" s="29"/>
      <c r="K597" s="29"/>
      <c r="L597" s="29"/>
      <c r="M597" s="29"/>
      <c r="N597" s="29"/>
    </row>
    <row r="598" ht="77.25" customHeight="1">
      <c r="A598" s="28"/>
      <c r="B598" s="29"/>
      <c r="C598" s="28"/>
      <c r="D598" s="29"/>
      <c r="G598" s="29"/>
      <c r="H598" s="29"/>
      <c r="I598" s="29"/>
      <c r="J598" s="29"/>
      <c r="K598" s="29"/>
      <c r="L598" s="29"/>
      <c r="M598" s="29"/>
      <c r="N598" s="29"/>
    </row>
    <row r="599" ht="77.25" customHeight="1">
      <c r="A599" s="28"/>
      <c r="B599" s="29"/>
      <c r="C599" s="28"/>
      <c r="D599" s="29"/>
      <c r="G599" s="29"/>
      <c r="H599" s="29"/>
      <c r="I599" s="29"/>
      <c r="J599" s="29"/>
      <c r="K599" s="29"/>
      <c r="L599" s="29"/>
      <c r="M599" s="29"/>
      <c r="N599" s="29"/>
    </row>
    <row r="600" ht="77.25" customHeight="1">
      <c r="A600" s="28"/>
      <c r="B600" s="29"/>
      <c r="C600" s="28"/>
      <c r="D600" s="29"/>
      <c r="G600" s="29"/>
      <c r="H600" s="29"/>
      <c r="I600" s="29"/>
      <c r="J600" s="29"/>
      <c r="K600" s="29"/>
      <c r="L600" s="29"/>
      <c r="M600" s="29"/>
      <c r="N600" s="29"/>
    </row>
    <row r="601" ht="77.25" customHeight="1">
      <c r="A601" s="28"/>
      <c r="B601" s="29"/>
      <c r="C601" s="28"/>
      <c r="D601" s="29"/>
      <c r="G601" s="29"/>
      <c r="H601" s="29"/>
      <c r="I601" s="29"/>
      <c r="J601" s="29"/>
      <c r="K601" s="29"/>
      <c r="L601" s="29"/>
      <c r="M601" s="29"/>
      <c r="N601" s="29"/>
    </row>
    <row r="602" ht="77.25" customHeight="1">
      <c r="A602" s="28"/>
      <c r="B602" s="29"/>
      <c r="C602" s="28"/>
      <c r="D602" s="29"/>
      <c r="G602" s="29"/>
      <c r="H602" s="29"/>
      <c r="I602" s="29"/>
      <c r="J602" s="29"/>
      <c r="K602" s="29"/>
      <c r="L602" s="29"/>
      <c r="M602" s="29"/>
      <c r="N602" s="29"/>
    </row>
    <row r="603" ht="77.25" customHeight="1">
      <c r="A603" s="28"/>
      <c r="B603" s="29"/>
      <c r="C603" s="28"/>
      <c r="D603" s="29"/>
      <c r="G603" s="29"/>
      <c r="H603" s="29"/>
      <c r="I603" s="29"/>
      <c r="J603" s="29"/>
      <c r="K603" s="29"/>
      <c r="L603" s="29"/>
      <c r="M603" s="29"/>
      <c r="N603" s="29"/>
    </row>
    <row r="604" ht="77.25" customHeight="1">
      <c r="A604" s="28"/>
      <c r="B604" s="29"/>
      <c r="C604" s="28"/>
      <c r="D604" s="29"/>
      <c r="G604" s="29"/>
      <c r="H604" s="29"/>
      <c r="I604" s="29"/>
      <c r="J604" s="29"/>
      <c r="K604" s="29"/>
      <c r="L604" s="29"/>
      <c r="M604" s="29"/>
      <c r="N604" s="29"/>
    </row>
    <row r="605" ht="77.25" customHeight="1">
      <c r="A605" s="28"/>
      <c r="B605" s="29"/>
      <c r="C605" s="28"/>
      <c r="D605" s="29"/>
      <c r="G605" s="29"/>
      <c r="H605" s="29"/>
      <c r="I605" s="29"/>
      <c r="J605" s="29"/>
      <c r="K605" s="29"/>
      <c r="L605" s="29"/>
      <c r="M605" s="29"/>
      <c r="N605" s="29"/>
    </row>
    <row r="606" ht="77.25" customHeight="1">
      <c r="A606" s="28"/>
      <c r="B606" s="29"/>
      <c r="C606" s="28"/>
      <c r="D606" s="29"/>
      <c r="G606" s="29"/>
      <c r="H606" s="29"/>
      <c r="I606" s="29"/>
      <c r="J606" s="29"/>
      <c r="K606" s="29"/>
      <c r="L606" s="29"/>
      <c r="M606" s="29"/>
      <c r="N606" s="29"/>
    </row>
    <row r="607" ht="77.25" customHeight="1">
      <c r="A607" s="28"/>
      <c r="B607" s="29"/>
      <c r="C607" s="28"/>
      <c r="D607" s="29"/>
      <c r="G607" s="29"/>
      <c r="H607" s="29"/>
      <c r="I607" s="29"/>
      <c r="J607" s="29"/>
      <c r="K607" s="29"/>
      <c r="L607" s="29"/>
      <c r="M607" s="29"/>
      <c r="N607" s="29"/>
    </row>
    <row r="608" ht="77.25" customHeight="1">
      <c r="A608" s="28"/>
      <c r="B608" s="29"/>
      <c r="C608" s="28"/>
      <c r="D608" s="29"/>
      <c r="G608" s="29"/>
      <c r="H608" s="29"/>
      <c r="I608" s="29"/>
      <c r="J608" s="29"/>
      <c r="K608" s="29"/>
      <c r="L608" s="29"/>
      <c r="M608" s="29"/>
      <c r="N608" s="29"/>
    </row>
    <row r="609" ht="77.25" customHeight="1">
      <c r="A609" s="28"/>
      <c r="B609" s="29"/>
      <c r="C609" s="28"/>
      <c r="D609" s="29"/>
      <c r="G609" s="29"/>
      <c r="H609" s="29"/>
      <c r="I609" s="29"/>
      <c r="J609" s="29"/>
      <c r="K609" s="29"/>
      <c r="L609" s="29"/>
      <c r="M609" s="29"/>
      <c r="N609" s="29"/>
    </row>
    <row r="610" ht="77.25" customHeight="1">
      <c r="A610" s="28"/>
      <c r="B610" s="29"/>
      <c r="C610" s="28"/>
      <c r="D610" s="29"/>
      <c r="G610" s="29"/>
      <c r="H610" s="29"/>
      <c r="I610" s="29"/>
      <c r="J610" s="29"/>
      <c r="K610" s="29"/>
      <c r="L610" s="29"/>
      <c r="M610" s="29"/>
      <c r="N610" s="29"/>
    </row>
    <row r="611" ht="77.25" customHeight="1">
      <c r="A611" s="28"/>
      <c r="B611" s="29"/>
      <c r="C611" s="28"/>
      <c r="D611" s="29"/>
      <c r="G611" s="29"/>
      <c r="H611" s="29"/>
      <c r="I611" s="29"/>
      <c r="J611" s="29"/>
      <c r="K611" s="29"/>
      <c r="L611" s="29"/>
      <c r="M611" s="29"/>
      <c r="N611" s="29"/>
    </row>
    <row r="612" ht="77.25" customHeight="1">
      <c r="A612" s="28"/>
      <c r="B612" s="29"/>
      <c r="C612" s="28"/>
      <c r="D612" s="29"/>
      <c r="G612" s="29"/>
      <c r="H612" s="29"/>
      <c r="I612" s="29"/>
      <c r="J612" s="29"/>
      <c r="K612" s="29"/>
      <c r="L612" s="29"/>
      <c r="M612" s="29"/>
      <c r="N612" s="29"/>
    </row>
    <row r="613" ht="77.25" customHeight="1">
      <c r="A613" s="28"/>
      <c r="B613" s="29"/>
      <c r="C613" s="28"/>
      <c r="D613" s="29"/>
      <c r="G613" s="29"/>
      <c r="H613" s="29"/>
      <c r="I613" s="29"/>
      <c r="J613" s="29"/>
      <c r="K613" s="29"/>
      <c r="L613" s="29"/>
      <c r="M613" s="29"/>
      <c r="N613" s="29"/>
    </row>
    <row r="614" ht="77.25" customHeight="1">
      <c r="A614" s="28"/>
      <c r="B614" s="29"/>
      <c r="C614" s="28"/>
      <c r="D614" s="29"/>
      <c r="G614" s="29"/>
      <c r="H614" s="29"/>
      <c r="I614" s="29"/>
      <c r="J614" s="29"/>
      <c r="K614" s="29"/>
      <c r="L614" s="29"/>
      <c r="M614" s="29"/>
      <c r="N614" s="29"/>
    </row>
    <row r="615" ht="77.25" customHeight="1">
      <c r="A615" s="28"/>
      <c r="B615" s="29"/>
      <c r="C615" s="28"/>
      <c r="D615" s="29"/>
      <c r="G615" s="29"/>
      <c r="H615" s="29"/>
      <c r="I615" s="29"/>
      <c r="J615" s="29"/>
      <c r="K615" s="29"/>
      <c r="L615" s="29"/>
      <c r="M615" s="29"/>
      <c r="N615" s="29"/>
    </row>
    <row r="616" ht="77.25" customHeight="1">
      <c r="A616" s="28"/>
      <c r="B616" s="29"/>
      <c r="C616" s="28"/>
      <c r="D616" s="29"/>
      <c r="G616" s="29"/>
      <c r="H616" s="29"/>
      <c r="I616" s="29"/>
      <c r="J616" s="29"/>
      <c r="K616" s="29"/>
      <c r="L616" s="29"/>
      <c r="M616" s="29"/>
      <c r="N616" s="29"/>
    </row>
    <row r="617" ht="77.25" customHeight="1">
      <c r="A617" s="28"/>
      <c r="B617" s="29"/>
      <c r="C617" s="28"/>
      <c r="D617" s="29"/>
      <c r="G617" s="29"/>
      <c r="H617" s="29"/>
      <c r="I617" s="29"/>
      <c r="J617" s="29"/>
      <c r="K617" s="29"/>
      <c r="L617" s="29"/>
      <c r="M617" s="29"/>
      <c r="N617" s="29"/>
    </row>
    <row r="618" ht="77.25" customHeight="1">
      <c r="A618" s="28"/>
      <c r="B618" s="29"/>
      <c r="C618" s="28"/>
      <c r="D618" s="29"/>
      <c r="G618" s="29"/>
      <c r="H618" s="29"/>
      <c r="I618" s="29"/>
      <c r="J618" s="29"/>
      <c r="K618" s="29"/>
      <c r="L618" s="29"/>
      <c r="M618" s="29"/>
      <c r="N618" s="29"/>
    </row>
    <row r="619" ht="77.25" customHeight="1">
      <c r="A619" s="28"/>
      <c r="B619" s="29"/>
      <c r="C619" s="28"/>
      <c r="D619" s="29"/>
      <c r="G619" s="29"/>
      <c r="H619" s="29"/>
      <c r="I619" s="29"/>
      <c r="J619" s="29"/>
      <c r="K619" s="29"/>
      <c r="L619" s="29"/>
      <c r="M619" s="29"/>
      <c r="N619" s="29"/>
    </row>
    <row r="620" ht="77.25" customHeight="1">
      <c r="A620" s="28"/>
      <c r="B620" s="29"/>
      <c r="C620" s="28"/>
      <c r="D620" s="29"/>
      <c r="G620" s="29"/>
      <c r="H620" s="29"/>
      <c r="I620" s="29"/>
      <c r="J620" s="29"/>
      <c r="K620" s="29"/>
      <c r="L620" s="29"/>
      <c r="M620" s="29"/>
      <c r="N620" s="29"/>
    </row>
    <row r="621" ht="77.25" customHeight="1">
      <c r="A621" s="28"/>
      <c r="B621" s="29"/>
      <c r="C621" s="28"/>
      <c r="D621" s="29"/>
      <c r="G621" s="29"/>
      <c r="H621" s="29"/>
      <c r="I621" s="29"/>
      <c r="J621" s="29"/>
      <c r="K621" s="29"/>
      <c r="L621" s="29"/>
      <c r="M621" s="29"/>
      <c r="N621" s="29"/>
    </row>
    <row r="622" ht="77.25" customHeight="1">
      <c r="A622" s="28"/>
      <c r="B622" s="29"/>
      <c r="C622" s="28"/>
      <c r="D622" s="29"/>
      <c r="G622" s="29"/>
      <c r="H622" s="29"/>
      <c r="I622" s="29"/>
      <c r="J622" s="29"/>
      <c r="K622" s="29"/>
      <c r="L622" s="29"/>
      <c r="M622" s="29"/>
      <c r="N622" s="29"/>
    </row>
    <row r="623" ht="77.25" customHeight="1">
      <c r="A623" s="28"/>
      <c r="B623" s="29"/>
      <c r="C623" s="28"/>
      <c r="D623" s="29"/>
      <c r="G623" s="29"/>
      <c r="H623" s="29"/>
      <c r="I623" s="29"/>
      <c r="J623" s="29"/>
      <c r="K623" s="29"/>
      <c r="L623" s="29"/>
      <c r="M623" s="29"/>
      <c r="N623" s="29"/>
    </row>
    <row r="624" ht="77.25" customHeight="1">
      <c r="A624" s="28"/>
      <c r="B624" s="29"/>
      <c r="C624" s="28"/>
      <c r="D624" s="29"/>
      <c r="G624" s="29"/>
      <c r="H624" s="29"/>
      <c r="I624" s="29"/>
      <c r="J624" s="29"/>
      <c r="K624" s="29"/>
      <c r="L624" s="29"/>
      <c r="M624" s="29"/>
      <c r="N624" s="29"/>
    </row>
    <row r="625" ht="77.25" customHeight="1">
      <c r="A625" s="28"/>
      <c r="B625" s="29"/>
      <c r="C625" s="28"/>
      <c r="D625" s="29"/>
      <c r="G625" s="29"/>
      <c r="H625" s="29"/>
      <c r="I625" s="29"/>
      <c r="J625" s="29"/>
      <c r="K625" s="29"/>
      <c r="L625" s="29"/>
      <c r="M625" s="29"/>
      <c r="N625" s="29"/>
    </row>
    <row r="626" ht="77.25" customHeight="1">
      <c r="A626" s="28"/>
      <c r="B626" s="29"/>
      <c r="C626" s="28"/>
      <c r="D626" s="29"/>
      <c r="G626" s="29"/>
      <c r="H626" s="29"/>
      <c r="I626" s="29"/>
      <c r="J626" s="29"/>
      <c r="K626" s="29"/>
      <c r="L626" s="29"/>
      <c r="M626" s="29"/>
      <c r="N626" s="29"/>
    </row>
    <row r="627" ht="77.25" customHeight="1">
      <c r="A627" s="28"/>
      <c r="B627" s="29"/>
      <c r="C627" s="28"/>
      <c r="D627" s="29"/>
      <c r="G627" s="29"/>
      <c r="H627" s="29"/>
      <c r="I627" s="29"/>
      <c r="J627" s="29"/>
      <c r="K627" s="29"/>
      <c r="L627" s="29"/>
      <c r="M627" s="29"/>
      <c r="N627" s="29"/>
    </row>
    <row r="628" ht="77.25" customHeight="1">
      <c r="A628" s="28"/>
      <c r="B628" s="29"/>
      <c r="C628" s="28"/>
      <c r="D628" s="29"/>
      <c r="G628" s="29"/>
      <c r="H628" s="29"/>
      <c r="I628" s="29"/>
      <c r="J628" s="29"/>
      <c r="K628" s="29"/>
      <c r="L628" s="29"/>
      <c r="M628" s="29"/>
      <c r="N628" s="29"/>
    </row>
    <row r="629" ht="77.25" customHeight="1">
      <c r="A629" s="28"/>
      <c r="B629" s="29"/>
      <c r="C629" s="28"/>
      <c r="D629" s="29"/>
      <c r="G629" s="29"/>
      <c r="H629" s="29"/>
      <c r="I629" s="29"/>
      <c r="J629" s="29"/>
      <c r="K629" s="29"/>
      <c r="L629" s="29"/>
      <c r="M629" s="29"/>
      <c r="N629" s="29"/>
    </row>
    <row r="630" ht="77.25" customHeight="1">
      <c r="A630" s="28"/>
      <c r="B630" s="29"/>
      <c r="C630" s="28"/>
      <c r="D630" s="29"/>
      <c r="G630" s="29"/>
      <c r="H630" s="29"/>
      <c r="I630" s="29"/>
      <c r="J630" s="29"/>
      <c r="K630" s="29"/>
      <c r="L630" s="29"/>
      <c r="M630" s="29"/>
      <c r="N630" s="29"/>
    </row>
    <row r="631" ht="77.25" customHeight="1">
      <c r="A631" s="28"/>
      <c r="B631" s="29"/>
      <c r="C631" s="28"/>
      <c r="D631" s="29"/>
      <c r="G631" s="29"/>
      <c r="H631" s="29"/>
      <c r="I631" s="29"/>
      <c r="J631" s="29"/>
      <c r="K631" s="29"/>
      <c r="L631" s="29"/>
      <c r="M631" s="29"/>
      <c r="N631" s="29"/>
    </row>
    <row r="632" ht="77.25" customHeight="1">
      <c r="A632" s="28"/>
      <c r="B632" s="29"/>
      <c r="C632" s="28"/>
      <c r="D632" s="29"/>
      <c r="G632" s="29"/>
      <c r="H632" s="29"/>
      <c r="I632" s="29"/>
      <c r="J632" s="29"/>
      <c r="K632" s="29"/>
      <c r="L632" s="29"/>
      <c r="M632" s="29"/>
      <c r="N632" s="29"/>
    </row>
    <row r="633" ht="77.25" customHeight="1">
      <c r="A633" s="28"/>
      <c r="B633" s="29"/>
      <c r="C633" s="28"/>
      <c r="D633" s="29"/>
      <c r="G633" s="29"/>
      <c r="H633" s="29"/>
      <c r="I633" s="29"/>
      <c r="J633" s="29"/>
      <c r="K633" s="29"/>
      <c r="L633" s="29"/>
      <c r="M633" s="29"/>
      <c r="N633" s="29"/>
    </row>
    <row r="634" ht="77.25" customHeight="1">
      <c r="A634" s="28"/>
      <c r="B634" s="29"/>
      <c r="C634" s="28"/>
      <c r="D634" s="29"/>
      <c r="G634" s="29"/>
      <c r="H634" s="29"/>
      <c r="I634" s="29"/>
      <c r="J634" s="29"/>
      <c r="K634" s="29"/>
      <c r="L634" s="29"/>
      <c r="M634" s="29"/>
      <c r="N634" s="29"/>
    </row>
    <row r="635" ht="77.25" customHeight="1">
      <c r="A635" s="28"/>
      <c r="B635" s="29"/>
      <c r="C635" s="28"/>
      <c r="D635" s="29"/>
      <c r="G635" s="29"/>
      <c r="H635" s="29"/>
      <c r="I635" s="29"/>
      <c r="J635" s="29"/>
      <c r="K635" s="29"/>
      <c r="L635" s="29"/>
      <c r="M635" s="29"/>
      <c r="N635" s="29"/>
    </row>
    <row r="636" ht="77.25" customHeight="1">
      <c r="A636" s="28"/>
      <c r="B636" s="29"/>
      <c r="C636" s="28"/>
      <c r="D636" s="29"/>
      <c r="G636" s="29"/>
      <c r="H636" s="29"/>
      <c r="I636" s="29"/>
      <c r="J636" s="29"/>
      <c r="K636" s="29"/>
      <c r="L636" s="29"/>
      <c r="M636" s="29"/>
      <c r="N636" s="29"/>
    </row>
    <row r="637" ht="77.25" customHeight="1">
      <c r="A637" s="28"/>
      <c r="B637" s="29"/>
      <c r="C637" s="28"/>
      <c r="D637" s="29"/>
      <c r="G637" s="29"/>
      <c r="H637" s="29"/>
      <c r="I637" s="29"/>
      <c r="J637" s="29"/>
      <c r="K637" s="29"/>
      <c r="L637" s="29"/>
      <c r="M637" s="29"/>
      <c r="N637" s="29"/>
    </row>
    <row r="638" ht="77.25" customHeight="1">
      <c r="A638" s="28"/>
      <c r="B638" s="29"/>
      <c r="C638" s="28"/>
      <c r="D638" s="29"/>
      <c r="G638" s="29"/>
      <c r="H638" s="29"/>
      <c r="I638" s="29"/>
      <c r="J638" s="29"/>
      <c r="K638" s="29"/>
      <c r="L638" s="29"/>
      <c r="M638" s="29"/>
      <c r="N638" s="29"/>
    </row>
    <row r="639" ht="77.25" customHeight="1">
      <c r="A639" s="28"/>
      <c r="B639" s="29"/>
      <c r="C639" s="28"/>
      <c r="D639" s="29"/>
      <c r="G639" s="29"/>
      <c r="H639" s="29"/>
      <c r="I639" s="29"/>
      <c r="J639" s="29"/>
      <c r="K639" s="29"/>
      <c r="L639" s="29"/>
      <c r="M639" s="29"/>
      <c r="N639" s="29"/>
    </row>
    <row r="640" ht="77.25" customHeight="1">
      <c r="A640" s="28"/>
      <c r="B640" s="29"/>
      <c r="C640" s="28"/>
      <c r="D640" s="29"/>
      <c r="G640" s="29"/>
      <c r="H640" s="29"/>
      <c r="I640" s="29"/>
      <c r="J640" s="29"/>
      <c r="K640" s="29"/>
      <c r="L640" s="29"/>
      <c r="M640" s="29"/>
      <c r="N640" s="29"/>
    </row>
    <row r="641" ht="77.25" customHeight="1">
      <c r="A641" s="28"/>
      <c r="B641" s="29"/>
      <c r="C641" s="28"/>
      <c r="D641" s="29"/>
      <c r="G641" s="29"/>
      <c r="H641" s="29"/>
      <c r="I641" s="29"/>
      <c r="J641" s="29"/>
      <c r="K641" s="29"/>
      <c r="L641" s="29"/>
      <c r="M641" s="29"/>
      <c r="N641" s="29"/>
    </row>
    <row r="642" ht="77.25" customHeight="1">
      <c r="A642" s="28"/>
      <c r="B642" s="29"/>
      <c r="C642" s="28"/>
      <c r="D642" s="29"/>
      <c r="G642" s="29"/>
      <c r="H642" s="29"/>
      <c r="I642" s="29"/>
      <c r="J642" s="29"/>
      <c r="K642" s="29"/>
      <c r="L642" s="29"/>
      <c r="M642" s="29"/>
      <c r="N642" s="29"/>
    </row>
    <row r="643" ht="77.25" customHeight="1">
      <c r="A643" s="28"/>
      <c r="B643" s="29"/>
      <c r="C643" s="28"/>
      <c r="D643" s="29"/>
      <c r="G643" s="29"/>
      <c r="H643" s="29"/>
      <c r="I643" s="29"/>
      <c r="J643" s="29"/>
      <c r="K643" s="29"/>
      <c r="L643" s="29"/>
      <c r="M643" s="29"/>
      <c r="N643" s="29"/>
    </row>
    <row r="644" ht="77.25" customHeight="1">
      <c r="A644" s="28"/>
      <c r="B644" s="29"/>
      <c r="C644" s="28"/>
      <c r="D644" s="29"/>
      <c r="G644" s="29"/>
      <c r="H644" s="29"/>
      <c r="I644" s="29"/>
      <c r="J644" s="29"/>
      <c r="K644" s="29"/>
      <c r="L644" s="29"/>
      <c r="M644" s="29"/>
      <c r="N644" s="29"/>
    </row>
    <row r="645" ht="77.25" customHeight="1">
      <c r="A645" s="28"/>
      <c r="B645" s="29"/>
      <c r="C645" s="28"/>
      <c r="D645" s="29"/>
      <c r="G645" s="29"/>
      <c r="H645" s="29"/>
      <c r="I645" s="29"/>
      <c r="J645" s="29"/>
      <c r="K645" s="29"/>
      <c r="L645" s="29"/>
      <c r="M645" s="29"/>
      <c r="N645" s="29"/>
    </row>
    <row r="646" ht="77.25" customHeight="1">
      <c r="A646" s="28"/>
      <c r="B646" s="29"/>
      <c r="C646" s="28"/>
      <c r="D646" s="29"/>
      <c r="G646" s="29"/>
      <c r="H646" s="29"/>
      <c r="I646" s="29"/>
      <c r="J646" s="29"/>
      <c r="K646" s="29"/>
      <c r="L646" s="29"/>
      <c r="M646" s="29"/>
      <c r="N646" s="29"/>
    </row>
    <row r="647" ht="77.25" customHeight="1">
      <c r="A647" s="28"/>
      <c r="B647" s="29"/>
      <c r="C647" s="28"/>
      <c r="D647" s="29"/>
      <c r="G647" s="29"/>
      <c r="H647" s="29"/>
      <c r="I647" s="29"/>
      <c r="J647" s="29"/>
      <c r="K647" s="29"/>
      <c r="L647" s="29"/>
      <c r="M647" s="29"/>
      <c r="N647" s="29"/>
    </row>
    <row r="648" ht="77.25" customHeight="1">
      <c r="A648" s="28"/>
      <c r="B648" s="29"/>
      <c r="C648" s="28"/>
      <c r="D648" s="29"/>
      <c r="G648" s="29"/>
      <c r="H648" s="29"/>
      <c r="I648" s="29"/>
      <c r="J648" s="29"/>
      <c r="K648" s="29"/>
      <c r="L648" s="29"/>
      <c r="M648" s="29"/>
      <c r="N648" s="29"/>
    </row>
    <row r="649" ht="77.25" customHeight="1">
      <c r="A649" s="28"/>
      <c r="B649" s="29"/>
      <c r="C649" s="28"/>
      <c r="D649" s="29"/>
      <c r="G649" s="29"/>
      <c r="H649" s="29"/>
      <c r="I649" s="29"/>
      <c r="J649" s="29"/>
      <c r="K649" s="29"/>
      <c r="L649" s="29"/>
      <c r="M649" s="29"/>
      <c r="N649" s="29"/>
    </row>
    <row r="650" ht="77.25" customHeight="1">
      <c r="A650" s="28"/>
      <c r="B650" s="29"/>
      <c r="C650" s="28"/>
      <c r="D650" s="29"/>
      <c r="G650" s="29"/>
      <c r="H650" s="29"/>
      <c r="I650" s="29"/>
      <c r="J650" s="29"/>
      <c r="K650" s="29"/>
      <c r="L650" s="29"/>
      <c r="M650" s="29"/>
      <c r="N650" s="29"/>
    </row>
    <row r="651" ht="77.25" customHeight="1">
      <c r="A651" s="28"/>
      <c r="B651" s="29"/>
      <c r="C651" s="28"/>
      <c r="D651" s="29"/>
      <c r="G651" s="29"/>
      <c r="H651" s="29"/>
      <c r="I651" s="29"/>
      <c r="J651" s="29"/>
      <c r="K651" s="29"/>
      <c r="L651" s="29"/>
      <c r="M651" s="29"/>
      <c r="N651" s="29"/>
    </row>
    <row r="652" ht="77.25" customHeight="1">
      <c r="A652" s="28"/>
      <c r="B652" s="29"/>
      <c r="C652" s="28"/>
      <c r="D652" s="29"/>
      <c r="G652" s="29"/>
      <c r="H652" s="29"/>
      <c r="I652" s="29"/>
      <c r="J652" s="29"/>
      <c r="K652" s="29"/>
      <c r="L652" s="29"/>
      <c r="M652" s="29"/>
      <c r="N652" s="29"/>
    </row>
    <row r="653" ht="77.25" customHeight="1">
      <c r="A653" s="28"/>
      <c r="B653" s="29"/>
      <c r="C653" s="28"/>
      <c r="D653" s="29"/>
      <c r="G653" s="29"/>
      <c r="H653" s="29"/>
      <c r="I653" s="29"/>
      <c r="J653" s="29"/>
      <c r="K653" s="29"/>
      <c r="L653" s="29"/>
      <c r="M653" s="29"/>
      <c r="N653" s="29"/>
    </row>
    <row r="654" ht="77.25" customHeight="1">
      <c r="A654" s="28"/>
      <c r="B654" s="29"/>
      <c r="C654" s="28"/>
      <c r="D654" s="29"/>
      <c r="G654" s="29"/>
      <c r="H654" s="29"/>
      <c r="I654" s="29"/>
      <c r="J654" s="29"/>
      <c r="K654" s="29"/>
      <c r="L654" s="29"/>
      <c r="M654" s="29"/>
      <c r="N654" s="29"/>
    </row>
    <row r="655" ht="77.25" customHeight="1">
      <c r="A655" s="28"/>
      <c r="B655" s="29"/>
      <c r="C655" s="28"/>
      <c r="D655" s="29"/>
      <c r="G655" s="29"/>
      <c r="H655" s="29"/>
      <c r="I655" s="29"/>
      <c r="J655" s="29"/>
      <c r="K655" s="29"/>
      <c r="L655" s="29"/>
      <c r="M655" s="29"/>
      <c r="N655" s="29"/>
    </row>
    <row r="656" ht="77.25" customHeight="1">
      <c r="A656" s="28"/>
      <c r="B656" s="29"/>
      <c r="C656" s="28"/>
      <c r="D656" s="29"/>
      <c r="G656" s="29"/>
      <c r="H656" s="29"/>
      <c r="I656" s="29"/>
      <c r="J656" s="29"/>
      <c r="K656" s="29"/>
      <c r="L656" s="29"/>
      <c r="M656" s="29"/>
      <c r="N656" s="29"/>
    </row>
    <row r="657" ht="77.25" customHeight="1">
      <c r="A657" s="28"/>
      <c r="B657" s="29"/>
      <c r="C657" s="28"/>
      <c r="D657" s="29"/>
      <c r="G657" s="29"/>
      <c r="H657" s="29"/>
      <c r="I657" s="29"/>
      <c r="J657" s="29"/>
      <c r="K657" s="29"/>
      <c r="L657" s="29"/>
      <c r="M657" s="29"/>
      <c r="N657" s="29"/>
    </row>
    <row r="658" ht="77.25" customHeight="1">
      <c r="A658" s="28"/>
      <c r="B658" s="29"/>
      <c r="C658" s="28"/>
      <c r="D658" s="29"/>
      <c r="G658" s="29"/>
      <c r="H658" s="29"/>
      <c r="I658" s="29"/>
      <c r="J658" s="29"/>
      <c r="K658" s="29"/>
      <c r="L658" s="29"/>
      <c r="M658" s="29"/>
      <c r="N658" s="29"/>
    </row>
    <row r="659" ht="77.25" customHeight="1">
      <c r="A659" s="28"/>
      <c r="B659" s="29"/>
      <c r="C659" s="28"/>
      <c r="D659" s="29"/>
      <c r="G659" s="29"/>
      <c r="H659" s="29"/>
      <c r="I659" s="29"/>
      <c r="J659" s="29"/>
      <c r="K659" s="29"/>
      <c r="L659" s="29"/>
      <c r="M659" s="29"/>
      <c r="N659" s="29"/>
    </row>
    <row r="660" ht="77.25" customHeight="1">
      <c r="A660" s="28"/>
      <c r="B660" s="29"/>
      <c r="C660" s="28"/>
      <c r="D660" s="29"/>
      <c r="G660" s="29"/>
      <c r="H660" s="29"/>
      <c r="I660" s="29"/>
      <c r="J660" s="29"/>
      <c r="K660" s="29"/>
      <c r="L660" s="29"/>
      <c r="M660" s="29"/>
      <c r="N660" s="29"/>
    </row>
    <row r="661" ht="77.25" customHeight="1">
      <c r="A661" s="28"/>
      <c r="B661" s="29"/>
      <c r="C661" s="28"/>
      <c r="D661" s="29"/>
      <c r="G661" s="29"/>
      <c r="H661" s="29"/>
      <c r="I661" s="29"/>
      <c r="J661" s="29"/>
      <c r="K661" s="29"/>
      <c r="L661" s="29"/>
      <c r="M661" s="29"/>
      <c r="N661" s="29"/>
    </row>
    <row r="662" ht="77.25" customHeight="1">
      <c r="A662" s="28"/>
      <c r="B662" s="29"/>
      <c r="C662" s="28"/>
      <c r="D662" s="29"/>
      <c r="G662" s="29"/>
      <c r="H662" s="29"/>
      <c r="I662" s="29"/>
      <c r="J662" s="29"/>
      <c r="K662" s="29"/>
      <c r="L662" s="29"/>
      <c r="M662" s="29"/>
      <c r="N662" s="29"/>
    </row>
    <row r="663" ht="77.25" customHeight="1">
      <c r="A663" s="28"/>
      <c r="B663" s="29"/>
      <c r="C663" s="28"/>
      <c r="D663" s="29"/>
      <c r="G663" s="29"/>
      <c r="H663" s="29"/>
      <c r="I663" s="29"/>
      <c r="J663" s="29"/>
      <c r="K663" s="29"/>
      <c r="L663" s="29"/>
      <c r="M663" s="29"/>
      <c r="N663" s="29"/>
    </row>
    <row r="664" ht="77.25" customHeight="1">
      <c r="A664" s="28"/>
      <c r="B664" s="29"/>
      <c r="C664" s="28"/>
      <c r="D664" s="29"/>
      <c r="G664" s="29"/>
      <c r="H664" s="29"/>
      <c r="I664" s="29"/>
      <c r="J664" s="29"/>
      <c r="K664" s="29"/>
      <c r="L664" s="29"/>
      <c r="M664" s="29"/>
      <c r="N664" s="29"/>
    </row>
    <row r="665" ht="77.25" customHeight="1">
      <c r="A665" s="28"/>
      <c r="B665" s="29"/>
      <c r="C665" s="28"/>
      <c r="D665" s="29"/>
      <c r="G665" s="29"/>
      <c r="H665" s="29"/>
      <c r="I665" s="29"/>
      <c r="J665" s="29"/>
      <c r="K665" s="29"/>
      <c r="L665" s="29"/>
      <c r="M665" s="29"/>
      <c r="N665" s="29"/>
    </row>
    <row r="666" ht="77.25" customHeight="1">
      <c r="A666" s="28"/>
      <c r="B666" s="29"/>
      <c r="C666" s="28"/>
      <c r="D666" s="29"/>
      <c r="G666" s="29"/>
      <c r="H666" s="29"/>
      <c r="I666" s="29"/>
      <c r="J666" s="29"/>
      <c r="K666" s="29"/>
      <c r="L666" s="29"/>
      <c r="M666" s="29"/>
      <c r="N666" s="29"/>
    </row>
    <row r="667" ht="77.25" customHeight="1">
      <c r="A667" s="28"/>
      <c r="B667" s="29"/>
      <c r="C667" s="28"/>
      <c r="D667" s="29"/>
      <c r="G667" s="29"/>
      <c r="H667" s="29"/>
      <c r="I667" s="29"/>
      <c r="J667" s="29"/>
      <c r="K667" s="29"/>
      <c r="L667" s="29"/>
      <c r="M667" s="29"/>
      <c r="N667" s="29"/>
    </row>
    <row r="668" ht="77.25" customHeight="1">
      <c r="A668" s="28"/>
      <c r="B668" s="29"/>
      <c r="C668" s="28"/>
      <c r="D668" s="29"/>
      <c r="G668" s="29"/>
      <c r="H668" s="29"/>
      <c r="I668" s="29"/>
      <c r="J668" s="29"/>
      <c r="K668" s="29"/>
      <c r="L668" s="29"/>
      <c r="M668" s="29"/>
      <c r="N668" s="29"/>
    </row>
    <row r="669" ht="77.25" customHeight="1">
      <c r="A669" s="28"/>
      <c r="B669" s="29"/>
      <c r="C669" s="28"/>
      <c r="D669" s="29"/>
      <c r="G669" s="29"/>
      <c r="H669" s="29"/>
      <c r="I669" s="29"/>
      <c r="J669" s="29"/>
      <c r="K669" s="29"/>
      <c r="L669" s="29"/>
      <c r="M669" s="29"/>
      <c r="N669" s="29"/>
    </row>
    <row r="670" ht="77.25" customHeight="1">
      <c r="A670" s="28"/>
      <c r="B670" s="29"/>
      <c r="C670" s="28"/>
      <c r="D670" s="29"/>
      <c r="G670" s="29"/>
      <c r="H670" s="29"/>
      <c r="I670" s="29"/>
      <c r="J670" s="29"/>
      <c r="K670" s="29"/>
      <c r="L670" s="29"/>
      <c r="M670" s="29"/>
      <c r="N670" s="29"/>
    </row>
    <row r="671" ht="77.25" customHeight="1">
      <c r="A671" s="28"/>
      <c r="B671" s="29"/>
      <c r="C671" s="28"/>
      <c r="D671" s="29"/>
      <c r="G671" s="29"/>
      <c r="H671" s="29"/>
      <c r="I671" s="29"/>
      <c r="J671" s="29"/>
      <c r="K671" s="29"/>
      <c r="L671" s="29"/>
      <c r="M671" s="29"/>
      <c r="N671" s="29"/>
    </row>
    <row r="672" ht="77.25" customHeight="1">
      <c r="A672" s="28"/>
      <c r="B672" s="29"/>
      <c r="C672" s="28"/>
      <c r="D672" s="29"/>
      <c r="G672" s="29"/>
      <c r="H672" s="29"/>
      <c r="I672" s="29"/>
      <c r="J672" s="29"/>
      <c r="K672" s="29"/>
      <c r="L672" s="29"/>
      <c r="M672" s="29"/>
      <c r="N672" s="29"/>
    </row>
    <row r="673" ht="77.25" customHeight="1">
      <c r="A673" s="28"/>
      <c r="B673" s="29"/>
      <c r="C673" s="28"/>
      <c r="D673" s="29"/>
      <c r="G673" s="29"/>
      <c r="H673" s="29"/>
      <c r="I673" s="29"/>
      <c r="J673" s="29"/>
      <c r="K673" s="29"/>
      <c r="L673" s="29"/>
      <c r="M673" s="29"/>
      <c r="N673" s="29"/>
    </row>
    <row r="674" ht="77.25" customHeight="1">
      <c r="A674" s="28"/>
      <c r="B674" s="29"/>
      <c r="C674" s="28"/>
      <c r="D674" s="29"/>
      <c r="G674" s="29"/>
      <c r="H674" s="29"/>
      <c r="I674" s="29"/>
      <c r="J674" s="29"/>
      <c r="K674" s="29"/>
      <c r="L674" s="29"/>
      <c r="M674" s="29"/>
      <c r="N674" s="29"/>
    </row>
    <row r="675" ht="77.25" customHeight="1">
      <c r="A675" s="28"/>
      <c r="B675" s="29"/>
      <c r="C675" s="28"/>
      <c r="D675" s="29"/>
      <c r="G675" s="29"/>
      <c r="H675" s="29"/>
      <c r="I675" s="29"/>
      <c r="J675" s="29"/>
      <c r="K675" s="29"/>
      <c r="L675" s="29"/>
      <c r="M675" s="29"/>
      <c r="N675" s="29"/>
    </row>
    <row r="676" ht="77.25" customHeight="1">
      <c r="A676" s="28"/>
      <c r="B676" s="29"/>
      <c r="C676" s="28"/>
      <c r="D676" s="29"/>
      <c r="G676" s="29"/>
      <c r="H676" s="29"/>
      <c r="I676" s="29"/>
      <c r="J676" s="29"/>
      <c r="K676" s="29"/>
      <c r="L676" s="29"/>
      <c r="M676" s="29"/>
      <c r="N676" s="29"/>
    </row>
    <row r="677" ht="77.25" customHeight="1">
      <c r="A677" s="28"/>
      <c r="B677" s="29"/>
      <c r="C677" s="28"/>
      <c r="D677" s="29"/>
      <c r="G677" s="29"/>
      <c r="H677" s="29"/>
      <c r="I677" s="29"/>
      <c r="J677" s="29"/>
      <c r="K677" s="29"/>
      <c r="L677" s="29"/>
      <c r="M677" s="29"/>
      <c r="N677" s="29"/>
    </row>
    <row r="678" ht="77.25" customHeight="1">
      <c r="A678" s="28"/>
      <c r="B678" s="29"/>
      <c r="C678" s="28"/>
      <c r="D678" s="29"/>
      <c r="G678" s="29"/>
      <c r="H678" s="29"/>
      <c r="I678" s="29"/>
      <c r="J678" s="29"/>
      <c r="K678" s="29"/>
      <c r="L678" s="29"/>
      <c r="M678" s="29"/>
      <c r="N678" s="29"/>
    </row>
    <row r="679" ht="77.25" customHeight="1">
      <c r="A679" s="28"/>
      <c r="B679" s="29"/>
      <c r="C679" s="28"/>
      <c r="D679" s="29"/>
      <c r="G679" s="29"/>
      <c r="H679" s="29"/>
      <c r="I679" s="29"/>
      <c r="J679" s="29"/>
      <c r="K679" s="29"/>
      <c r="L679" s="29"/>
      <c r="M679" s="29"/>
      <c r="N679" s="29"/>
    </row>
    <row r="680" ht="77.25" customHeight="1">
      <c r="A680" s="28"/>
      <c r="B680" s="29"/>
      <c r="C680" s="28"/>
      <c r="D680" s="29"/>
      <c r="G680" s="29"/>
      <c r="H680" s="29"/>
      <c r="I680" s="29"/>
      <c r="J680" s="29"/>
      <c r="K680" s="29"/>
      <c r="L680" s="29"/>
      <c r="M680" s="29"/>
      <c r="N680" s="29"/>
    </row>
    <row r="681" ht="77.25" customHeight="1">
      <c r="A681" s="28"/>
      <c r="B681" s="29"/>
      <c r="C681" s="28"/>
      <c r="D681" s="29"/>
      <c r="G681" s="29"/>
      <c r="H681" s="29"/>
      <c r="I681" s="29"/>
      <c r="J681" s="29"/>
      <c r="K681" s="29"/>
      <c r="L681" s="29"/>
      <c r="M681" s="29"/>
      <c r="N681" s="29"/>
    </row>
    <row r="682" ht="77.25" customHeight="1">
      <c r="A682" s="28"/>
      <c r="B682" s="29"/>
      <c r="C682" s="28"/>
      <c r="D682" s="29"/>
      <c r="G682" s="29"/>
      <c r="H682" s="29"/>
      <c r="I682" s="29"/>
      <c r="J682" s="29"/>
      <c r="K682" s="29"/>
      <c r="L682" s="29"/>
      <c r="M682" s="29"/>
      <c r="N682" s="29"/>
    </row>
    <row r="683" ht="77.25" customHeight="1">
      <c r="A683" s="28"/>
      <c r="B683" s="29"/>
      <c r="C683" s="28"/>
      <c r="D683" s="29"/>
      <c r="G683" s="29"/>
      <c r="H683" s="29"/>
      <c r="I683" s="29"/>
      <c r="J683" s="29"/>
      <c r="K683" s="29"/>
      <c r="L683" s="29"/>
      <c r="M683" s="29"/>
      <c r="N683" s="29"/>
    </row>
    <row r="684" ht="77.25" customHeight="1">
      <c r="A684" s="28"/>
      <c r="B684" s="29"/>
      <c r="C684" s="28"/>
      <c r="D684" s="29"/>
      <c r="G684" s="29"/>
      <c r="H684" s="29"/>
      <c r="I684" s="29"/>
      <c r="J684" s="29"/>
      <c r="K684" s="29"/>
      <c r="L684" s="29"/>
      <c r="M684" s="29"/>
      <c r="N684" s="29"/>
    </row>
    <row r="685" ht="77.25" customHeight="1">
      <c r="A685" s="28"/>
      <c r="B685" s="29"/>
      <c r="C685" s="28"/>
      <c r="D685" s="29"/>
      <c r="G685" s="29"/>
      <c r="H685" s="29"/>
      <c r="I685" s="29"/>
      <c r="J685" s="29"/>
      <c r="K685" s="29"/>
      <c r="L685" s="29"/>
      <c r="M685" s="29"/>
      <c r="N685" s="29"/>
    </row>
    <row r="686" ht="77.25" customHeight="1">
      <c r="A686" s="28"/>
      <c r="B686" s="29"/>
      <c r="C686" s="28"/>
      <c r="D686" s="29"/>
      <c r="G686" s="29"/>
      <c r="H686" s="29"/>
      <c r="I686" s="29"/>
      <c r="J686" s="29"/>
      <c r="K686" s="29"/>
      <c r="L686" s="29"/>
      <c r="M686" s="29"/>
      <c r="N686" s="29"/>
    </row>
    <row r="687" ht="77.25" customHeight="1">
      <c r="A687" s="28"/>
      <c r="B687" s="29"/>
      <c r="C687" s="28"/>
      <c r="D687" s="29"/>
      <c r="G687" s="29"/>
      <c r="H687" s="29"/>
      <c r="I687" s="29"/>
      <c r="J687" s="29"/>
      <c r="K687" s="29"/>
      <c r="L687" s="29"/>
      <c r="M687" s="29"/>
      <c r="N687" s="29"/>
    </row>
    <row r="688" ht="77.25" customHeight="1">
      <c r="A688" s="28"/>
      <c r="B688" s="29"/>
      <c r="C688" s="28"/>
      <c r="D688" s="29"/>
      <c r="G688" s="29"/>
      <c r="H688" s="29"/>
      <c r="I688" s="29"/>
      <c r="J688" s="29"/>
      <c r="K688" s="29"/>
      <c r="L688" s="29"/>
      <c r="M688" s="29"/>
      <c r="N688" s="29"/>
    </row>
    <row r="689" ht="77.25" customHeight="1">
      <c r="A689" s="28"/>
      <c r="B689" s="29"/>
      <c r="C689" s="28"/>
      <c r="D689" s="29"/>
      <c r="G689" s="29"/>
      <c r="H689" s="29"/>
      <c r="I689" s="29"/>
      <c r="J689" s="29"/>
      <c r="K689" s="29"/>
      <c r="L689" s="29"/>
      <c r="M689" s="29"/>
      <c r="N689" s="29"/>
    </row>
    <row r="690" ht="77.25" customHeight="1">
      <c r="A690" s="28"/>
      <c r="B690" s="29"/>
      <c r="C690" s="28"/>
      <c r="D690" s="29"/>
      <c r="G690" s="29"/>
      <c r="H690" s="29"/>
      <c r="I690" s="29"/>
      <c r="J690" s="29"/>
      <c r="K690" s="29"/>
      <c r="L690" s="29"/>
      <c r="M690" s="29"/>
      <c r="N690" s="29"/>
    </row>
    <row r="691" ht="77.25" customHeight="1">
      <c r="A691" s="28"/>
      <c r="B691" s="29"/>
      <c r="C691" s="28"/>
      <c r="D691" s="29"/>
      <c r="G691" s="29"/>
      <c r="H691" s="29"/>
      <c r="I691" s="29"/>
      <c r="J691" s="29"/>
      <c r="K691" s="29"/>
      <c r="L691" s="29"/>
      <c r="M691" s="29"/>
      <c r="N691" s="29"/>
    </row>
    <row r="692" ht="77.25" customHeight="1">
      <c r="A692" s="28"/>
      <c r="B692" s="29"/>
      <c r="C692" s="28"/>
      <c r="D692" s="29"/>
      <c r="G692" s="29"/>
      <c r="H692" s="29"/>
      <c r="I692" s="29"/>
      <c r="J692" s="29"/>
      <c r="K692" s="29"/>
      <c r="L692" s="29"/>
      <c r="M692" s="29"/>
      <c r="N692" s="29"/>
    </row>
    <row r="693" ht="77.25" customHeight="1">
      <c r="A693" s="28"/>
      <c r="B693" s="29"/>
      <c r="C693" s="28"/>
      <c r="D693" s="29"/>
      <c r="G693" s="29"/>
      <c r="H693" s="29"/>
      <c r="I693" s="29"/>
      <c r="J693" s="29"/>
      <c r="K693" s="29"/>
      <c r="L693" s="29"/>
      <c r="M693" s="29"/>
      <c r="N693" s="29"/>
    </row>
    <row r="694" ht="77.25" customHeight="1">
      <c r="A694" s="28"/>
      <c r="B694" s="29"/>
      <c r="C694" s="28"/>
      <c r="D694" s="29"/>
      <c r="G694" s="29"/>
      <c r="H694" s="29"/>
      <c r="I694" s="29"/>
      <c r="J694" s="29"/>
      <c r="K694" s="29"/>
      <c r="L694" s="29"/>
      <c r="M694" s="29"/>
      <c r="N694" s="29"/>
    </row>
    <row r="695" ht="77.25" customHeight="1">
      <c r="A695" s="28"/>
      <c r="B695" s="29"/>
      <c r="C695" s="28"/>
      <c r="D695" s="29"/>
      <c r="G695" s="29"/>
      <c r="H695" s="29"/>
      <c r="I695" s="29"/>
      <c r="J695" s="29"/>
      <c r="K695" s="29"/>
      <c r="L695" s="29"/>
      <c r="M695" s="29"/>
      <c r="N695" s="29"/>
    </row>
    <row r="696" ht="77.25" customHeight="1">
      <c r="A696" s="28"/>
      <c r="B696" s="29"/>
      <c r="C696" s="28"/>
      <c r="D696" s="29"/>
      <c r="G696" s="29"/>
      <c r="H696" s="29"/>
      <c r="I696" s="29"/>
      <c r="J696" s="29"/>
      <c r="K696" s="29"/>
      <c r="L696" s="29"/>
      <c r="M696" s="29"/>
      <c r="N696" s="29"/>
    </row>
    <row r="697" ht="77.25" customHeight="1">
      <c r="A697" s="28"/>
      <c r="B697" s="29"/>
      <c r="C697" s="28"/>
      <c r="D697" s="29"/>
      <c r="G697" s="29"/>
      <c r="H697" s="29"/>
      <c r="I697" s="29"/>
      <c r="J697" s="29"/>
      <c r="K697" s="29"/>
      <c r="L697" s="29"/>
      <c r="M697" s="29"/>
      <c r="N697" s="29"/>
    </row>
    <row r="698" ht="77.25" customHeight="1">
      <c r="A698" s="28"/>
      <c r="B698" s="29"/>
      <c r="C698" s="28"/>
      <c r="D698" s="29"/>
      <c r="G698" s="29"/>
      <c r="H698" s="29"/>
      <c r="I698" s="29"/>
      <c r="J698" s="29"/>
      <c r="K698" s="29"/>
      <c r="L698" s="29"/>
      <c r="M698" s="29"/>
      <c r="N698" s="29"/>
    </row>
    <row r="699" ht="77.25" customHeight="1">
      <c r="A699" s="28"/>
      <c r="B699" s="29"/>
      <c r="C699" s="28"/>
      <c r="D699" s="29"/>
      <c r="G699" s="29"/>
      <c r="H699" s="29"/>
      <c r="I699" s="29"/>
      <c r="J699" s="29"/>
      <c r="K699" s="29"/>
      <c r="L699" s="29"/>
      <c r="M699" s="29"/>
      <c r="N699" s="29"/>
    </row>
    <row r="700" ht="77.25" customHeight="1">
      <c r="A700" s="28"/>
      <c r="B700" s="29"/>
      <c r="C700" s="28"/>
      <c r="D700" s="29"/>
      <c r="G700" s="29"/>
      <c r="H700" s="29"/>
      <c r="I700" s="29"/>
      <c r="J700" s="29"/>
      <c r="K700" s="29"/>
      <c r="L700" s="29"/>
      <c r="M700" s="29"/>
      <c r="N700" s="29"/>
    </row>
    <row r="701" ht="77.25" customHeight="1">
      <c r="A701" s="28"/>
      <c r="B701" s="29"/>
      <c r="C701" s="28"/>
      <c r="D701" s="29"/>
      <c r="G701" s="29"/>
      <c r="H701" s="29"/>
      <c r="I701" s="29"/>
      <c r="J701" s="29"/>
      <c r="K701" s="29"/>
      <c r="L701" s="29"/>
      <c r="M701" s="29"/>
      <c r="N701" s="29"/>
    </row>
    <row r="702" ht="77.25" customHeight="1">
      <c r="A702" s="28"/>
      <c r="B702" s="29"/>
      <c r="C702" s="28"/>
      <c r="D702" s="29"/>
      <c r="G702" s="29"/>
      <c r="H702" s="29"/>
      <c r="I702" s="29"/>
      <c r="J702" s="29"/>
      <c r="K702" s="29"/>
      <c r="L702" s="29"/>
      <c r="M702" s="29"/>
      <c r="N702" s="29"/>
    </row>
    <row r="703" ht="77.25" customHeight="1">
      <c r="A703" s="28"/>
      <c r="B703" s="29"/>
      <c r="C703" s="28"/>
      <c r="D703" s="29"/>
      <c r="G703" s="29"/>
      <c r="H703" s="29"/>
      <c r="I703" s="29"/>
      <c r="J703" s="29"/>
      <c r="K703" s="29"/>
      <c r="L703" s="29"/>
      <c r="M703" s="29"/>
      <c r="N703" s="29"/>
    </row>
    <row r="704" ht="77.25" customHeight="1">
      <c r="A704" s="28"/>
      <c r="B704" s="29"/>
      <c r="C704" s="28"/>
      <c r="D704" s="29"/>
      <c r="G704" s="29"/>
      <c r="H704" s="29"/>
      <c r="I704" s="29"/>
      <c r="J704" s="29"/>
      <c r="K704" s="29"/>
      <c r="L704" s="29"/>
      <c r="M704" s="29"/>
      <c r="N704" s="29"/>
    </row>
    <row r="705" ht="77.25" customHeight="1">
      <c r="A705" s="28"/>
      <c r="B705" s="29"/>
      <c r="C705" s="28"/>
      <c r="D705" s="29"/>
      <c r="G705" s="29"/>
      <c r="H705" s="29"/>
      <c r="I705" s="29"/>
      <c r="J705" s="29"/>
      <c r="K705" s="29"/>
      <c r="L705" s="29"/>
      <c r="M705" s="29"/>
      <c r="N705" s="29"/>
    </row>
    <row r="706" ht="77.25" customHeight="1">
      <c r="A706" s="28"/>
      <c r="B706" s="29"/>
      <c r="C706" s="28"/>
      <c r="D706" s="29"/>
      <c r="G706" s="29"/>
      <c r="H706" s="29"/>
      <c r="I706" s="29"/>
      <c r="J706" s="29"/>
      <c r="K706" s="29"/>
      <c r="L706" s="29"/>
      <c r="M706" s="29"/>
      <c r="N706" s="29"/>
    </row>
    <row r="707" ht="77.25" customHeight="1">
      <c r="A707" s="28"/>
      <c r="B707" s="29"/>
      <c r="C707" s="28"/>
      <c r="D707" s="29"/>
      <c r="G707" s="29"/>
      <c r="H707" s="29"/>
      <c r="I707" s="29"/>
      <c r="J707" s="29"/>
      <c r="K707" s="29"/>
      <c r="L707" s="29"/>
      <c r="M707" s="29"/>
      <c r="N707" s="29"/>
    </row>
    <row r="708" ht="77.25" customHeight="1">
      <c r="A708" s="28"/>
      <c r="B708" s="29"/>
      <c r="C708" s="28"/>
      <c r="D708" s="29"/>
      <c r="G708" s="29"/>
      <c r="H708" s="29"/>
      <c r="I708" s="29"/>
      <c r="J708" s="29"/>
      <c r="K708" s="29"/>
      <c r="L708" s="29"/>
      <c r="M708" s="29"/>
      <c r="N708" s="29"/>
    </row>
    <row r="709" ht="77.25" customHeight="1">
      <c r="A709" s="28"/>
      <c r="B709" s="29"/>
      <c r="C709" s="28"/>
      <c r="D709" s="29"/>
      <c r="G709" s="29"/>
      <c r="H709" s="29"/>
      <c r="I709" s="29"/>
      <c r="J709" s="29"/>
      <c r="K709" s="29"/>
      <c r="L709" s="29"/>
      <c r="M709" s="29"/>
      <c r="N709" s="29"/>
    </row>
    <row r="710" ht="77.25" customHeight="1">
      <c r="A710" s="28"/>
      <c r="B710" s="29"/>
      <c r="C710" s="28"/>
      <c r="D710" s="29"/>
      <c r="G710" s="29"/>
      <c r="H710" s="29"/>
      <c r="I710" s="29"/>
      <c r="J710" s="29"/>
      <c r="K710" s="29"/>
      <c r="L710" s="29"/>
      <c r="M710" s="29"/>
      <c r="N710" s="29"/>
    </row>
    <row r="711" ht="77.25" customHeight="1">
      <c r="A711" s="28"/>
      <c r="B711" s="29"/>
      <c r="C711" s="28"/>
      <c r="D711" s="29"/>
      <c r="G711" s="29"/>
      <c r="H711" s="29"/>
      <c r="I711" s="29"/>
      <c r="J711" s="29"/>
      <c r="K711" s="29"/>
      <c r="L711" s="29"/>
      <c r="M711" s="29"/>
      <c r="N711" s="29"/>
    </row>
    <row r="712" ht="77.25" customHeight="1">
      <c r="A712" s="28"/>
      <c r="B712" s="29"/>
      <c r="C712" s="28"/>
      <c r="D712" s="29"/>
      <c r="G712" s="29"/>
      <c r="H712" s="29"/>
      <c r="I712" s="29"/>
      <c r="J712" s="29"/>
      <c r="K712" s="29"/>
      <c r="L712" s="29"/>
      <c r="M712" s="29"/>
      <c r="N712" s="29"/>
    </row>
    <row r="713" ht="77.25" customHeight="1">
      <c r="A713" s="28"/>
      <c r="B713" s="29"/>
      <c r="C713" s="28"/>
      <c r="D713" s="29"/>
      <c r="G713" s="29"/>
      <c r="H713" s="29"/>
      <c r="I713" s="29"/>
      <c r="J713" s="29"/>
      <c r="K713" s="29"/>
      <c r="L713" s="29"/>
      <c r="M713" s="29"/>
      <c r="N713" s="29"/>
    </row>
    <row r="714" ht="77.25" customHeight="1">
      <c r="A714" s="28"/>
      <c r="B714" s="29"/>
      <c r="C714" s="28"/>
      <c r="D714" s="29"/>
      <c r="G714" s="29"/>
      <c r="H714" s="29"/>
      <c r="I714" s="29"/>
      <c r="J714" s="29"/>
      <c r="K714" s="29"/>
      <c r="L714" s="29"/>
      <c r="M714" s="29"/>
      <c r="N714" s="29"/>
    </row>
    <row r="715" ht="77.25" customHeight="1">
      <c r="A715" s="28"/>
      <c r="B715" s="29"/>
      <c r="C715" s="28"/>
      <c r="D715" s="29"/>
      <c r="G715" s="29"/>
      <c r="H715" s="29"/>
      <c r="I715" s="29"/>
      <c r="J715" s="29"/>
      <c r="K715" s="29"/>
      <c r="L715" s="29"/>
      <c r="M715" s="29"/>
      <c r="N715" s="29"/>
    </row>
    <row r="716" ht="77.25" customHeight="1">
      <c r="A716" s="28"/>
      <c r="B716" s="29"/>
      <c r="C716" s="28"/>
      <c r="D716" s="29"/>
      <c r="G716" s="29"/>
      <c r="H716" s="29"/>
      <c r="I716" s="29"/>
      <c r="J716" s="29"/>
      <c r="K716" s="29"/>
      <c r="L716" s="29"/>
      <c r="M716" s="29"/>
      <c r="N716" s="29"/>
    </row>
    <row r="717" ht="77.25" customHeight="1">
      <c r="A717" s="28"/>
      <c r="B717" s="29"/>
      <c r="C717" s="28"/>
      <c r="D717" s="29"/>
      <c r="G717" s="29"/>
      <c r="H717" s="29"/>
      <c r="I717" s="29"/>
      <c r="J717" s="29"/>
      <c r="K717" s="29"/>
      <c r="L717" s="29"/>
      <c r="M717" s="29"/>
      <c r="N717" s="29"/>
    </row>
    <row r="718" ht="77.25" customHeight="1">
      <c r="A718" s="28"/>
      <c r="B718" s="29"/>
      <c r="C718" s="28"/>
      <c r="D718" s="29"/>
      <c r="G718" s="29"/>
      <c r="H718" s="29"/>
      <c r="I718" s="29"/>
      <c r="J718" s="29"/>
      <c r="K718" s="29"/>
      <c r="L718" s="29"/>
      <c r="M718" s="29"/>
      <c r="N718" s="29"/>
    </row>
    <row r="719" ht="77.25" customHeight="1">
      <c r="A719" s="28"/>
      <c r="B719" s="29"/>
      <c r="C719" s="28"/>
      <c r="D719" s="29"/>
      <c r="G719" s="29"/>
      <c r="H719" s="29"/>
      <c r="I719" s="29"/>
      <c r="J719" s="29"/>
      <c r="K719" s="29"/>
      <c r="L719" s="29"/>
      <c r="M719" s="29"/>
      <c r="N719" s="29"/>
    </row>
    <row r="720" ht="77.25" customHeight="1">
      <c r="A720" s="28"/>
      <c r="B720" s="29"/>
      <c r="C720" s="28"/>
      <c r="D720" s="29"/>
      <c r="G720" s="29"/>
      <c r="H720" s="29"/>
      <c r="I720" s="29"/>
      <c r="J720" s="29"/>
      <c r="K720" s="29"/>
      <c r="L720" s="29"/>
      <c r="M720" s="29"/>
      <c r="N720" s="29"/>
    </row>
    <row r="721" ht="77.25" customHeight="1">
      <c r="A721" s="28"/>
      <c r="B721" s="29"/>
      <c r="C721" s="28"/>
      <c r="D721" s="29"/>
      <c r="G721" s="29"/>
      <c r="H721" s="29"/>
      <c r="I721" s="29"/>
      <c r="J721" s="29"/>
      <c r="K721" s="29"/>
      <c r="L721" s="29"/>
      <c r="M721" s="29"/>
      <c r="N721" s="29"/>
    </row>
    <row r="722" ht="77.25" customHeight="1">
      <c r="A722" s="28"/>
      <c r="B722" s="29"/>
      <c r="C722" s="28"/>
      <c r="D722" s="29"/>
      <c r="G722" s="29"/>
      <c r="H722" s="29"/>
      <c r="I722" s="29"/>
      <c r="J722" s="29"/>
      <c r="K722" s="29"/>
      <c r="L722" s="29"/>
      <c r="M722" s="29"/>
      <c r="N722" s="29"/>
    </row>
    <row r="723" ht="77.25" customHeight="1">
      <c r="A723" s="28"/>
      <c r="B723" s="29"/>
      <c r="C723" s="28"/>
      <c r="D723" s="29"/>
      <c r="G723" s="29"/>
      <c r="H723" s="29"/>
      <c r="I723" s="29"/>
      <c r="J723" s="29"/>
      <c r="K723" s="29"/>
      <c r="L723" s="29"/>
      <c r="M723" s="29"/>
      <c r="N723" s="29"/>
    </row>
    <row r="724" ht="77.25" customHeight="1">
      <c r="A724" s="28"/>
      <c r="B724" s="29"/>
      <c r="C724" s="28"/>
      <c r="D724" s="29"/>
      <c r="G724" s="29"/>
      <c r="H724" s="29"/>
      <c r="I724" s="29"/>
      <c r="J724" s="29"/>
      <c r="K724" s="29"/>
      <c r="L724" s="29"/>
      <c r="M724" s="29"/>
      <c r="N724" s="29"/>
    </row>
    <row r="725" ht="77.25" customHeight="1">
      <c r="A725" s="28"/>
      <c r="B725" s="29"/>
      <c r="C725" s="28"/>
      <c r="D725" s="29"/>
      <c r="G725" s="29"/>
      <c r="H725" s="29"/>
      <c r="I725" s="29"/>
      <c r="J725" s="29"/>
      <c r="K725" s="29"/>
      <c r="L725" s="29"/>
      <c r="M725" s="29"/>
      <c r="N725" s="29"/>
    </row>
    <row r="726" ht="77.25" customHeight="1">
      <c r="A726" s="28"/>
      <c r="B726" s="29"/>
      <c r="C726" s="28"/>
      <c r="D726" s="29"/>
      <c r="G726" s="29"/>
      <c r="H726" s="29"/>
      <c r="I726" s="29"/>
      <c r="J726" s="29"/>
      <c r="K726" s="29"/>
      <c r="L726" s="29"/>
      <c r="M726" s="29"/>
      <c r="N726" s="29"/>
    </row>
    <row r="727" ht="77.25" customHeight="1">
      <c r="A727" s="28"/>
      <c r="B727" s="29"/>
      <c r="C727" s="28"/>
      <c r="D727" s="29"/>
      <c r="G727" s="29"/>
      <c r="H727" s="29"/>
      <c r="I727" s="29"/>
      <c r="J727" s="29"/>
      <c r="K727" s="29"/>
      <c r="L727" s="29"/>
      <c r="M727" s="29"/>
      <c r="N727" s="29"/>
    </row>
    <row r="728" ht="77.25" customHeight="1">
      <c r="A728" s="28"/>
      <c r="B728" s="29"/>
      <c r="C728" s="28"/>
      <c r="D728" s="29"/>
      <c r="G728" s="29"/>
      <c r="H728" s="29"/>
      <c r="I728" s="29"/>
      <c r="J728" s="29"/>
      <c r="K728" s="29"/>
      <c r="L728" s="29"/>
      <c r="M728" s="29"/>
      <c r="N728" s="29"/>
    </row>
    <row r="729" ht="77.25" customHeight="1">
      <c r="A729" s="28"/>
      <c r="B729" s="29"/>
      <c r="C729" s="28"/>
      <c r="D729" s="29"/>
      <c r="G729" s="29"/>
      <c r="H729" s="29"/>
      <c r="I729" s="29"/>
      <c r="J729" s="29"/>
      <c r="K729" s="29"/>
      <c r="L729" s="29"/>
      <c r="M729" s="29"/>
      <c r="N729" s="29"/>
    </row>
    <row r="730" ht="77.25" customHeight="1">
      <c r="A730" s="28"/>
      <c r="B730" s="29"/>
      <c r="C730" s="28"/>
      <c r="D730" s="29"/>
      <c r="G730" s="29"/>
      <c r="H730" s="29"/>
      <c r="I730" s="29"/>
      <c r="J730" s="29"/>
      <c r="K730" s="29"/>
      <c r="L730" s="29"/>
      <c r="M730" s="29"/>
      <c r="N730" s="29"/>
    </row>
    <row r="731" ht="77.25" customHeight="1">
      <c r="A731" s="28"/>
      <c r="B731" s="29"/>
      <c r="C731" s="28"/>
      <c r="D731" s="29"/>
      <c r="G731" s="29"/>
      <c r="H731" s="29"/>
      <c r="I731" s="29"/>
      <c r="J731" s="29"/>
      <c r="K731" s="29"/>
      <c r="L731" s="29"/>
      <c r="M731" s="29"/>
      <c r="N731" s="29"/>
    </row>
    <row r="732" ht="77.25" customHeight="1">
      <c r="A732" s="28"/>
      <c r="B732" s="29"/>
      <c r="C732" s="28"/>
      <c r="D732" s="29"/>
      <c r="G732" s="29"/>
      <c r="H732" s="29"/>
      <c r="I732" s="29"/>
      <c r="J732" s="29"/>
      <c r="K732" s="29"/>
      <c r="L732" s="29"/>
      <c r="M732" s="29"/>
      <c r="N732" s="29"/>
    </row>
    <row r="733" ht="77.25" customHeight="1">
      <c r="A733" s="28"/>
      <c r="B733" s="29"/>
      <c r="C733" s="28"/>
      <c r="D733" s="29"/>
      <c r="G733" s="29"/>
      <c r="H733" s="29"/>
      <c r="I733" s="29"/>
      <c r="J733" s="29"/>
      <c r="K733" s="29"/>
      <c r="L733" s="29"/>
      <c r="M733" s="29"/>
      <c r="N733" s="29"/>
    </row>
    <row r="734" ht="77.25" customHeight="1">
      <c r="A734" s="28"/>
      <c r="B734" s="29"/>
      <c r="C734" s="28"/>
      <c r="D734" s="29"/>
      <c r="G734" s="29"/>
      <c r="H734" s="29"/>
      <c r="I734" s="29"/>
      <c r="J734" s="29"/>
      <c r="K734" s="29"/>
      <c r="L734" s="29"/>
      <c r="M734" s="29"/>
      <c r="N734" s="29"/>
    </row>
    <row r="735" ht="77.25" customHeight="1">
      <c r="A735" s="28"/>
      <c r="B735" s="29"/>
      <c r="C735" s="28"/>
      <c r="D735" s="29"/>
      <c r="G735" s="29"/>
      <c r="H735" s="29"/>
      <c r="I735" s="29"/>
      <c r="J735" s="29"/>
      <c r="K735" s="29"/>
      <c r="L735" s="29"/>
      <c r="M735" s="29"/>
      <c r="N735" s="29"/>
    </row>
    <row r="736" ht="77.25" customHeight="1">
      <c r="A736" s="28"/>
      <c r="B736" s="29"/>
      <c r="C736" s="28"/>
      <c r="D736" s="29"/>
      <c r="G736" s="29"/>
      <c r="H736" s="29"/>
      <c r="I736" s="29"/>
      <c r="J736" s="29"/>
      <c r="K736" s="29"/>
      <c r="L736" s="29"/>
      <c r="M736" s="29"/>
      <c r="N736" s="29"/>
    </row>
    <row r="737" ht="77.25" customHeight="1">
      <c r="A737" s="28"/>
      <c r="B737" s="29"/>
      <c r="C737" s="28"/>
      <c r="D737" s="29"/>
      <c r="G737" s="29"/>
      <c r="H737" s="29"/>
      <c r="I737" s="29"/>
      <c r="J737" s="29"/>
      <c r="K737" s="29"/>
      <c r="L737" s="29"/>
      <c r="M737" s="29"/>
      <c r="N737" s="29"/>
    </row>
    <row r="738" ht="77.25" customHeight="1">
      <c r="A738" s="28"/>
      <c r="B738" s="29"/>
      <c r="C738" s="28"/>
      <c r="D738" s="29"/>
      <c r="G738" s="29"/>
      <c r="H738" s="29"/>
      <c r="I738" s="29"/>
      <c r="J738" s="29"/>
      <c r="K738" s="29"/>
      <c r="L738" s="29"/>
      <c r="M738" s="29"/>
      <c r="N738" s="29"/>
    </row>
    <row r="739" ht="77.25" customHeight="1">
      <c r="A739" s="28"/>
      <c r="B739" s="29"/>
      <c r="C739" s="28"/>
      <c r="D739" s="29"/>
      <c r="G739" s="29"/>
      <c r="H739" s="29"/>
      <c r="I739" s="29"/>
      <c r="J739" s="29"/>
      <c r="K739" s="29"/>
      <c r="L739" s="29"/>
      <c r="M739" s="29"/>
      <c r="N739" s="29"/>
    </row>
    <row r="740" ht="77.25" customHeight="1">
      <c r="A740" s="28"/>
      <c r="B740" s="29"/>
      <c r="C740" s="28"/>
      <c r="D740" s="29"/>
      <c r="G740" s="29"/>
      <c r="H740" s="29"/>
      <c r="I740" s="29"/>
      <c r="J740" s="29"/>
      <c r="K740" s="29"/>
      <c r="L740" s="29"/>
      <c r="M740" s="29"/>
      <c r="N740" s="29"/>
    </row>
    <row r="741" ht="77.25" customHeight="1">
      <c r="A741" s="28"/>
      <c r="B741" s="29"/>
      <c r="C741" s="28"/>
      <c r="D741" s="29"/>
      <c r="G741" s="29"/>
      <c r="H741" s="29"/>
      <c r="I741" s="29"/>
      <c r="J741" s="29"/>
      <c r="K741" s="29"/>
      <c r="L741" s="29"/>
      <c r="M741" s="29"/>
      <c r="N741" s="29"/>
    </row>
    <row r="742" ht="77.25" customHeight="1">
      <c r="A742" s="28"/>
      <c r="B742" s="29"/>
      <c r="C742" s="28"/>
      <c r="D742" s="29"/>
      <c r="G742" s="29"/>
      <c r="H742" s="29"/>
      <c r="I742" s="29"/>
      <c r="J742" s="29"/>
      <c r="K742" s="29"/>
      <c r="L742" s="29"/>
      <c r="M742" s="29"/>
      <c r="N742" s="29"/>
    </row>
    <row r="743" ht="77.25" customHeight="1">
      <c r="A743" s="28"/>
      <c r="B743" s="29"/>
      <c r="C743" s="28"/>
      <c r="D743" s="29"/>
      <c r="G743" s="29"/>
      <c r="H743" s="29"/>
      <c r="I743" s="29"/>
      <c r="J743" s="29"/>
      <c r="K743" s="29"/>
      <c r="L743" s="29"/>
      <c r="M743" s="29"/>
      <c r="N743" s="29"/>
    </row>
    <row r="744" ht="77.25" customHeight="1">
      <c r="A744" s="28"/>
      <c r="B744" s="29"/>
      <c r="C744" s="28"/>
      <c r="D744" s="29"/>
      <c r="G744" s="29"/>
      <c r="H744" s="29"/>
      <c r="I744" s="29"/>
      <c r="J744" s="29"/>
      <c r="K744" s="29"/>
      <c r="L744" s="29"/>
      <c r="M744" s="29"/>
      <c r="N744" s="29"/>
    </row>
    <row r="745" ht="77.25" customHeight="1">
      <c r="A745" s="28"/>
      <c r="B745" s="29"/>
      <c r="C745" s="28"/>
      <c r="D745" s="29"/>
      <c r="G745" s="29"/>
      <c r="H745" s="29"/>
      <c r="I745" s="29"/>
      <c r="J745" s="29"/>
      <c r="K745" s="29"/>
      <c r="L745" s="29"/>
      <c r="M745" s="29"/>
      <c r="N745" s="29"/>
    </row>
    <row r="746" ht="77.25" customHeight="1">
      <c r="A746" s="28"/>
      <c r="B746" s="29"/>
      <c r="C746" s="28"/>
      <c r="D746" s="29"/>
      <c r="G746" s="29"/>
      <c r="H746" s="29"/>
      <c r="I746" s="29"/>
      <c r="J746" s="29"/>
      <c r="K746" s="29"/>
      <c r="L746" s="29"/>
      <c r="M746" s="29"/>
      <c r="N746" s="29"/>
    </row>
    <row r="747" ht="77.25" customHeight="1">
      <c r="A747" s="28"/>
      <c r="B747" s="29"/>
      <c r="C747" s="28"/>
      <c r="D747" s="29"/>
      <c r="G747" s="29"/>
      <c r="H747" s="29"/>
      <c r="I747" s="29"/>
      <c r="J747" s="29"/>
      <c r="K747" s="29"/>
      <c r="L747" s="29"/>
      <c r="M747" s="29"/>
      <c r="N747" s="29"/>
    </row>
    <row r="748" ht="77.25" customHeight="1">
      <c r="A748" s="28"/>
      <c r="B748" s="29"/>
      <c r="C748" s="28"/>
      <c r="D748" s="29"/>
      <c r="G748" s="29"/>
      <c r="H748" s="29"/>
      <c r="I748" s="29"/>
      <c r="J748" s="29"/>
      <c r="K748" s="29"/>
      <c r="L748" s="29"/>
      <c r="M748" s="29"/>
      <c r="N748" s="29"/>
    </row>
    <row r="749" ht="77.25" customHeight="1">
      <c r="A749" s="28"/>
      <c r="B749" s="29"/>
      <c r="C749" s="28"/>
      <c r="D749" s="29"/>
      <c r="G749" s="29"/>
      <c r="H749" s="29"/>
      <c r="I749" s="29"/>
      <c r="J749" s="29"/>
      <c r="K749" s="29"/>
      <c r="L749" s="29"/>
      <c r="M749" s="29"/>
      <c r="N749" s="29"/>
    </row>
    <row r="750" ht="77.25" customHeight="1">
      <c r="A750" s="28"/>
      <c r="B750" s="29"/>
      <c r="C750" s="28"/>
      <c r="D750" s="29"/>
      <c r="G750" s="29"/>
      <c r="H750" s="29"/>
      <c r="I750" s="29"/>
      <c r="J750" s="29"/>
      <c r="K750" s="29"/>
      <c r="L750" s="29"/>
      <c r="M750" s="29"/>
      <c r="N750" s="29"/>
    </row>
    <row r="751" ht="77.25" customHeight="1">
      <c r="A751" s="28"/>
      <c r="B751" s="29"/>
      <c r="C751" s="28"/>
      <c r="D751" s="29"/>
      <c r="G751" s="29"/>
      <c r="H751" s="29"/>
      <c r="I751" s="29"/>
      <c r="J751" s="29"/>
      <c r="K751" s="29"/>
      <c r="L751" s="29"/>
      <c r="M751" s="29"/>
      <c r="N751" s="29"/>
    </row>
    <row r="752" ht="77.25" customHeight="1">
      <c r="A752" s="28"/>
      <c r="B752" s="29"/>
      <c r="C752" s="28"/>
      <c r="D752" s="29"/>
      <c r="G752" s="29"/>
      <c r="H752" s="29"/>
      <c r="I752" s="29"/>
      <c r="J752" s="29"/>
      <c r="K752" s="29"/>
      <c r="L752" s="29"/>
      <c r="M752" s="29"/>
      <c r="N752" s="29"/>
    </row>
    <row r="753" ht="77.25" customHeight="1">
      <c r="A753" s="28"/>
      <c r="B753" s="29"/>
      <c r="C753" s="28"/>
      <c r="D753" s="29"/>
      <c r="G753" s="29"/>
      <c r="H753" s="29"/>
      <c r="I753" s="29"/>
      <c r="J753" s="29"/>
      <c r="K753" s="29"/>
      <c r="L753" s="29"/>
      <c r="M753" s="29"/>
      <c r="N753" s="29"/>
    </row>
    <row r="754" ht="77.25" customHeight="1">
      <c r="A754" s="28"/>
      <c r="B754" s="29"/>
      <c r="C754" s="28"/>
      <c r="D754" s="29"/>
      <c r="G754" s="29"/>
      <c r="H754" s="29"/>
      <c r="I754" s="29"/>
      <c r="J754" s="29"/>
      <c r="K754" s="29"/>
      <c r="L754" s="29"/>
      <c r="M754" s="29"/>
      <c r="N754" s="29"/>
    </row>
    <row r="755" ht="77.25" customHeight="1">
      <c r="A755" s="28"/>
      <c r="B755" s="29"/>
      <c r="C755" s="28"/>
      <c r="D755" s="29"/>
      <c r="G755" s="29"/>
      <c r="H755" s="29"/>
      <c r="I755" s="29"/>
      <c r="J755" s="29"/>
      <c r="K755" s="29"/>
      <c r="L755" s="29"/>
      <c r="M755" s="29"/>
      <c r="N755" s="29"/>
    </row>
    <row r="756" ht="77.25" customHeight="1">
      <c r="A756" s="28"/>
      <c r="B756" s="29"/>
      <c r="C756" s="28"/>
      <c r="D756" s="29"/>
      <c r="G756" s="29"/>
      <c r="H756" s="29"/>
      <c r="I756" s="29"/>
      <c r="J756" s="29"/>
      <c r="K756" s="29"/>
      <c r="L756" s="29"/>
      <c r="M756" s="29"/>
      <c r="N756" s="29"/>
    </row>
    <row r="757" ht="77.25" customHeight="1">
      <c r="A757" s="28"/>
      <c r="B757" s="29"/>
      <c r="C757" s="28"/>
      <c r="D757" s="29"/>
      <c r="G757" s="29"/>
      <c r="H757" s="29"/>
      <c r="I757" s="29"/>
      <c r="J757" s="29"/>
      <c r="K757" s="29"/>
      <c r="L757" s="29"/>
      <c r="M757" s="29"/>
      <c r="N757" s="29"/>
    </row>
    <row r="758" ht="77.25" customHeight="1">
      <c r="A758" s="28"/>
      <c r="B758" s="29"/>
      <c r="C758" s="28"/>
      <c r="D758" s="29"/>
      <c r="G758" s="29"/>
      <c r="H758" s="29"/>
      <c r="I758" s="29"/>
      <c r="J758" s="29"/>
      <c r="K758" s="29"/>
      <c r="L758" s="29"/>
      <c r="M758" s="29"/>
      <c r="N758" s="29"/>
    </row>
    <row r="759" ht="77.25" customHeight="1">
      <c r="A759" s="28"/>
      <c r="B759" s="29"/>
      <c r="C759" s="28"/>
      <c r="D759" s="29"/>
      <c r="G759" s="29"/>
      <c r="H759" s="29"/>
      <c r="I759" s="29"/>
      <c r="J759" s="29"/>
      <c r="K759" s="29"/>
      <c r="L759" s="29"/>
      <c r="M759" s="29"/>
      <c r="N759" s="29"/>
    </row>
    <row r="760" ht="77.25" customHeight="1">
      <c r="A760" s="28"/>
      <c r="B760" s="29"/>
      <c r="C760" s="28"/>
      <c r="D760" s="29"/>
      <c r="G760" s="29"/>
      <c r="H760" s="29"/>
      <c r="I760" s="29"/>
      <c r="J760" s="29"/>
      <c r="K760" s="29"/>
      <c r="L760" s="29"/>
      <c r="M760" s="29"/>
      <c r="N760" s="29"/>
    </row>
    <row r="761" ht="77.25" customHeight="1">
      <c r="A761" s="28"/>
      <c r="B761" s="29"/>
      <c r="C761" s="28"/>
      <c r="D761" s="29"/>
      <c r="G761" s="29"/>
      <c r="H761" s="29"/>
      <c r="I761" s="29"/>
      <c r="J761" s="29"/>
      <c r="K761" s="29"/>
      <c r="L761" s="29"/>
      <c r="M761" s="29"/>
      <c r="N761" s="29"/>
    </row>
    <row r="762" ht="77.25" customHeight="1">
      <c r="A762" s="28"/>
      <c r="B762" s="29"/>
      <c r="C762" s="28"/>
      <c r="D762" s="29"/>
      <c r="G762" s="29"/>
      <c r="H762" s="29"/>
      <c r="I762" s="29"/>
      <c r="J762" s="29"/>
      <c r="K762" s="29"/>
      <c r="L762" s="29"/>
      <c r="M762" s="29"/>
      <c r="N762" s="29"/>
    </row>
    <row r="763" ht="77.25" customHeight="1">
      <c r="A763" s="28"/>
      <c r="B763" s="29"/>
      <c r="C763" s="28"/>
      <c r="D763" s="29"/>
      <c r="G763" s="29"/>
      <c r="H763" s="29"/>
      <c r="I763" s="29"/>
      <c r="J763" s="29"/>
      <c r="K763" s="29"/>
      <c r="L763" s="29"/>
      <c r="M763" s="29"/>
      <c r="N763" s="29"/>
    </row>
    <row r="764" ht="77.25" customHeight="1">
      <c r="A764" s="28"/>
      <c r="B764" s="29"/>
      <c r="C764" s="28"/>
      <c r="D764" s="29"/>
      <c r="G764" s="29"/>
      <c r="H764" s="29"/>
      <c r="I764" s="29"/>
      <c r="J764" s="29"/>
      <c r="K764" s="29"/>
      <c r="L764" s="29"/>
      <c r="M764" s="29"/>
      <c r="N764" s="29"/>
    </row>
    <row r="765" ht="77.25" customHeight="1">
      <c r="A765" s="28"/>
      <c r="B765" s="29"/>
      <c r="C765" s="28"/>
      <c r="D765" s="29"/>
      <c r="G765" s="29"/>
      <c r="H765" s="29"/>
      <c r="I765" s="29"/>
      <c r="J765" s="29"/>
      <c r="K765" s="29"/>
      <c r="L765" s="29"/>
      <c r="M765" s="29"/>
      <c r="N765" s="29"/>
    </row>
    <row r="766" ht="77.25" customHeight="1">
      <c r="A766" s="28"/>
      <c r="B766" s="29"/>
      <c r="C766" s="28"/>
      <c r="D766" s="29"/>
      <c r="G766" s="29"/>
      <c r="H766" s="29"/>
      <c r="I766" s="29"/>
      <c r="J766" s="29"/>
      <c r="K766" s="29"/>
      <c r="L766" s="29"/>
      <c r="M766" s="29"/>
      <c r="N766" s="29"/>
    </row>
    <row r="767" ht="77.25" customHeight="1">
      <c r="A767" s="28"/>
      <c r="B767" s="29"/>
      <c r="C767" s="28"/>
      <c r="D767" s="29"/>
      <c r="G767" s="29"/>
      <c r="H767" s="29"/>
      <c r="I767" s="29"/>
      <c r="J767" s="29"/>
      <c r="K767" s="29"/>
      <c r="L767" s="29"/>
      <c r="M767" s="29"/>
      <c r="N767" s="29"/>
    </row>
    <row r="768" ht="77.25" customHeight="1">
      <c r="A768" s="28"/>
      <c r="B768" s="29"/>
      <c r="C768" s="28"/>
      <c r="D768" s="29"/>
      <c r="G768" s="29"/>
      <c r="H768" s="29"/>
      <c r="I768" s="29"/>
      <c r="J768" s="29"/>
      <c r="K768" s="29"/>
      <c r="L768" s="29"/>
      <c r="M768" s="29"/>
      <c r="N768" s="29"/>
    </row>
    <row r="769" ht="77.25" customHeight="1">
      <c r="A769" s="28"/>
      <c r="B769" s="29"/>
      <c r="C769" s="28"/>
      <c r="D769" s="29"/>
      <c r="G769" s="29"/>
      <c r="H769" s="29"/>
      <c r="I769" s="29"/>
      <c r="J769" s="29"/>
      <c r="K769" s="29"/>
      <c r="L769" s="29"/>
      <c r="M769" s="29"/>
      <c r="N769" s="29"/>
    </row>
    <row r="770" ht="77.25" customHeight="1">
      <c r="A770" s="28"/>
      <c r="B770" s="29"/>
      <c r="C770" s="28"/>
      <c r="D770" s="29"/>
      <c r="G770" s="29"/>
      <c r="H770" s="29"/>
      <c r="I770" s="29"/>
      <c r="J770" s="29"/>
      <c r="K770" s="29"/>
      <c r="L770" s="29"/>
      <c r="M770" s="29"/>
      <c r="N770" s="29"/>
    </row>
    <row r="771" ht="77.25" customHeight="1">
      <c r="A771" s="28"/>
      <c r="B771" s="29"/>
      <c r="C771" s="28"/>
      <c r="D771" s="29"/>
      <c r="G771" s="29"/>
      <c r="H771" s="29"/>
      <c r="I771" s="29"/>
      <c r="J771" s="29"/>
      <c r="K771" s="29"/>
      <c r="L771" s="29"/>
      <c r="M771" s="29"/>
      <c r="N771" s="29"/>
    </row>
    <row r="772" ht="77.25" customHeight="1">
      <c r="A772" s="28"/>
      <c r="B772" s="29"/>
      <c r="C772" s="28"/>
      <c r="D772" s="29"/>
      <c r="G772" s="29"/>
      <c r="H772" s="29"/>
      <c r="I772" s="29"/>
      <c r="J772" s="29"/>
      <c r="K772" s="29"/>
      <c r="L772" s="29"/>
      <c r="M772" s="29"/>
      <c r="N772" s="29"/>
    </row>
    <row r="773" ht="77.25" customHeight="1">
      <c r="A773" s="28"/>
      <c r="B773" s="29"/>
      <c r="C773" s="28"/>
      <c r="D773" s="29"/>
      <c r="G773" s="29"/>
      <c r="H773" s="29"/>
      <c r="I773" s="29"/>
      <c r="J773" s="29"/>
      <c r="K773" s="29"/>
      <c r="L773" s="29"/>
      <c r="M773" s="29"/>
      <c r="N773" s="29"/>
    </row>
    <row r="774" ht="77.25" customHeight="1">
      <c r="A774" s="28"/>
      <c r="B774" s="29"/>
      <c r="C774" s="28"/>
      <c r="D774" s="29"/>
      <c r="G774" s="29"/>
      <c r="H774" s="29"/>
      <c r="I774" s="29"/>
      <c r="J774" s="29"/>
      <c r="K774" s="29"/>
      <c r="L774" s="29"/>
      <c r="M774" s="29"/>
      <c r="N774" s="29"/>
    </row>
    <row r="775" ht="77.25" customHeight="1">
      <c r="A775" s="28"/>
      <c r="B775" s="29"/>
      <c r="C775" s="28"/>
      <c r="D775" s="29"/>
      <c r="G775" s="29"/>
      <c r="H775" s="29"/>
      <c r="I775" s="29"/>
      <c r="J775" s="29"/>
      <c r="K775" s="29"/>
      <c r="L775" s="29"/>
      <c r="M775" s="29"/>
      <c r="N775" s="29"/>
    </row>
    <row r="776" ht="77.25" customHeight="1">
      <c r="A776" s="28"/>
      <c r="B776" s="29"/>
      <c r="C776" s="28"/>
      <c r="D776" s="29"/>
      <c r="G776" s="29"/>
      <c r="H776" s="29"/>
      <c r="I776" s="29"/>
      <c r="J776" s="29"/>
      <c r="K776" s="29"/>
      <c r="L776" s="29"/>
      <c r="M776" s="29"/>
      <c r="N776" s="29"/>
    </row>
    <row r="777" ht="77.25" customHeight="1">
      <c r="A777" s="28"/>
      <c r="B777" s="29"/>
      <c r="C777" s="28"/>
      <c r="D777" s="29"/>
      <c r="G777" s="29"/>
      <c r="H777" s="29"/>
      <c r="I777" s="29"/>
      <c r="J777" s="29"/>
      <c r="K777" s="29"/>
      <c r="L777" s="29"/>
      <c r="M777" s="29"/>
      <c r="N777" s="29"/>
    </row>
    <row r="778" ht="77.25" customHeight="1">
      <c r="A778" s="28"/>
      <c r="B778" s="29"/>
      <c r="C778" s="28"/>
      <c r="D778" s="29"/>
      <c r="G778" s="29"/>
      <c r="H778" s="29"/>
      <c r="I778" s="29"/>
      <c r="J778" s="29"/>
      <c r="K778" s="29"/>
      <c r="L778" s="29"/>
      <c r="M778" s="29"/>
      <c r="N778" s="29"/>
    </row>
    <row r="779" ht="77.25" customHeight="1">
      <c r="A779" s="28"/>
      <c r="B779" s="29"/>
      <c r="C779" s="28"/>
      <c r="D779" s="29"/>
      <c r="G779" s="29"/>
      <c r="H779" s="29"/>
      <c r="I779" s="29"/>
      <c r="J779" s="29"/>
      <c r="K779" s="29"/>
      <c r="L779" s="29"/>
      <c r="M779" s="29"/>
      <c r="N779" s="29"/>
    </row>
    <row r="780" ht="77.25" customHeight="1">
      <c r="A780" s="28"/>
      <c r="B780" s="29"/>
      <c r="C780" s="28"/>
      <c r="D780" s="29"/>
      <c r="G780" s="29"/>
      <c r="H780" s="29"/>
      <c r="I780" s="29"/>
      <c r="J780" s="29"/>
      <c r="K780" s="29"/>
      <c r="L780" s="29"/>
      <c r="M780" s="29"/>
      <c r="N780" s="29"/>
    </row>
    <row r="781" ht="77.25" customHeight="1">
      <c r="A781" s="28"/>
      <c r="B781" s="29"/>
      <c r="C781" s="28"/>
      <c r="D781" s="29"/>
      <c r="G781" s="29"/>
      <c r="H781" s="29"/>
      <c r="I781" s="29"/>
      <c r="J781" s="29"/>
      <c r="K781" s="29"/>
      <c r="L781" s="29"/>
      <c r="M781" s="29"/>
      <c r="N781" s="29"/>
    </row>
    <row r="782" ht="77.25" customHeight="1">
      <c r="A782" s="28"/>
      <c r="B782" s="29"/>
      <c r="C782" s="28"/>
      <c r="D782" s="29"/>
      <c r="G782" s="29"/>
      <c r="H782" s="29"/>
      <c r="I782" s="29"/>
      <c r="J782" s="29"/>
      <c r="K782" s="29"/>
      <c r="L782" s="29"/>
      <c r="M782" s="29"/>
      <c r="N782" s="29"/>
    </row>
    <row r="783" ht="77.25" customHeight="1">
      <c r="A783" s="28"/>
      <c r="B783" s="29"/>
      <c r="C783" s="28"/>
      <c r="D783" s="29"/>
      <c r="G783" s="29"/>
      <c r="H783" s="29"/>
      <c r="I783" s="29"/>
      <c r="J783" s="29"/>
      <c r="K783" s="29"/>
      <c r="L783" s="29"/>
      <c r="M783" s="29"/>
      <c r="N783" s="29"/>
    </row>
    <row r="784" ht="77.25" customHeight="1">
      <c r="A784" s="28"/>
      <c r="B784" s="29"/>
      <c r="C784" s="28"/>
      <c r="D784" s="29"/>
      <c r="G784" s="29"/>
      <c r="H784" s="29"/>
      <c r="I784" s="29"/>
      <c r="J784" s="29"/>
      <c r="K784" s="29"/>
      <c r="L784" s="29"/>
      <c r="M784" s="29"/>
      <c r="N784" s="29"/>
    </row>
    <row r="785" ht="77.25" customHeight="1">
      <c r="A785" s="28"/>
      <c r="B785" s="29"/>
      <c r="C785" s="28"/>
      <c r="D785" s="29"/>
      <c r="G785" s="29"/>
      <c r="H785" s="29"/>
      <c r="I785" s="29"/>
      <c r="J785" s="29"/>
      <c r="K785" s="29"/>
      <c r="L785" s="29"/>
      <c r="M785" s="29"/>
      <c r="N785" s="29"/>
    </row>
    <row r="786" ht="77.25" customHeight="1">
      <c r="A786" s="28"/>
      <c r="B786" s="29"/>
      <c r="C786" s="28"/>
      <c r="D786" s="29"/>
      <c r="G786" s="29"/>
      <c r="H786" s="29"/>
      <c r="I786" s="29"/>
      <c r="J786" s="29"/>
      <c r="K786" s="29"/>
      <c r="L786" s="29"/>
      <c r="M786" s="29"/>
      <c r="N786" s="29"/>
    </row>
    <row r="787" ht="77.25" customHeight="1">
      <c r="A787" s="28"/>
      <c r="B787" s="29"/>
      <c r="C787" s="28"/>
      <c r="D787" s="29"/>
      <c r="G787" s="29"/>
      <c r="H787" s="29"/>
      <c r="I787" s="29"/>
      <c r="J787" s="29"/>
      <c r="K787" s="29"/>
      <c r="L787" s="29"/>
      <c r="M787" s="29"/>
      <c r="N787" s="29"/>
    </row>
    <row r="788" ht="77.25" customHeight="1">
      <c r="A788" s="28"/>
      <c r="B788" s="29"/>
      <c r="C788" s="28"/>
      <c r="D788" s="29"/>
      <c r="G788" s="29"/>
      <c r="H788" s="29"/>
      <c r="I788" s="29"/>
      <c r="J788" s="29"/>
      <c r="K788" s="29"/>
      <c r="L788" s="29"/>
      <c r="M788" s="29"/>
      <c r="N788" s="29"/>
    </row>
    <row r="789" ht="77.25" customHeight="1">
      <c r="A789" s="28"/>
      <c r="B789" s="29"/>
      <c r="C789" s="28"/>
      <c r="D789" s="29"/>
      <c r="G789" s="29"/>
      <c r="H789" s="29"/>
      <c r="I789" s="29"/>
      <c r="J789" s="29"/>
      <c r="K789" s="29"/>
      <c r="L789" s="29"/>
      <c r="M789" s="29"/>
      <c r="N789" s="29"/>
    </row>
    <row r="790" ht="77.25" customHeight="1">
      <c r="A790" s="28"/>
      <c r="B790" s="29"/>
      <c r="C790" s="28"/>
      <c r="D790" s="29"/>
      <c r="G790" s="29"/>
      <c r="H790" s="29"/>
      <c r="I790" s="29"/>
      <c r="J790" s="29"/>
      <c r="K790" s="29"/>
      <c r="L790" s="29"/>
      <c r="M790" s="29"/>
      <c r="N790" s="29"/>
    </row>
    <row r="791" ht="77.25" customHeight="1">
      <c r="A791" s="28"/>
      <c r="B791" s="29"/>
      <c r="C791" s="28"/>
      <c r="D791" s="29"/>
      <c r="G791" s="29"/>
      <c r="H791" s="29"/>
      <c r="I791" s="29"/>
      <c r="J791" s="29"/>
      <c r="K791" s="29"/>
      <c r="L791" s="29"/>
      <c r="M791" s="29"/>
      <c r="N791" s="29"/>
    </row>
    <row r="792" ht="77.25" customHeight="1">
      <c r="A792" s="28"/>
      <c r="B792" s="29"/>
      <c r="C792" s="28"/>
      <c r="D792" s="29"/>
      <c r="G792" s="29"/>
      <c r="H792" s="29"/>
      <c r="I792" s="29"/>
      <c r="J792" s="29"/>
      <c r="K792" s="29"/>
      <c r="L792" s="29"/>
      <c r="M792" s="29"/>
      <c r="N792" s="29"/>
    </row>
    <row r="793" ht="77.25" customHeight="1">
      <c r="A793" s="28"/>
      <c r="B793" s="29"/>
      <c r="C793" s="28"/>
      <c r="D793" s="29"/>
      <c r="G793" s="29"/>
      <c r="H793" s="29"/>
      <c r="I793" s="29"/>
      <c r="J793" s="29"/>
      <c r="K793" s="29"/>
      <c r="L793" s="29"/>
      <c r="M793" s="29"/>
      <c r="N793" s="29"/>
    </row>
    <row r="794" ht="77.25" customHeight="1">
      <c r="A794" s="28"/>
      <c r="B794" s="29"/>
      <c r="C794" s="28"/>
      <c r="D794" s="29"/>
      <c r="G794" s="29"/>
      <c r="H794" s="29"/>
      <c r="I794" s="29"/>
      <c r="J794" s="29"/>
      <c r="K794" s="29"/>
      <c r="L794" s="29"/>
      <c r="M794" s="29"/>
      <c r="N794" s="29"/>
    </row>
    <row r="795" ht="77.25" customHeight="1">
      <c r="A795" s="28"/>
      <c r="B795" s="29"/>
      <c r="C795" s="28"/>
      <c r="D795" s="29"/>
      <c r="G795" s="29"/>
      <c r="H795" s="29"/>
      <c r="I795" s="29"/>
      <c r="J795" s="29"/>
      <c r="K795" s="29"/>
      <c r="L795" s="29"/>
      <c r="M795" s="29"/>
      <c r="N795" s="29"/>
    </row>
    <row r="796" ht="77.25" customHeight="1">
      <c r="A796" s="28"/>
      <c r="B796" s="29"/>
      <c r="C796" s="28"/>
      <c r="D796" s="29"/>
      <c r="G796" s="29"/>
      <c r="H796" s="29"/>
      <c r="I796" s="29"/>
      <c r="J796" s="29"/>
      <c r="K796" s="29"/>
      <c r="L796" s="29"/>
      <c r="M796" s="29"/>
      <c r="N796" s="29"/>
    </row>
    <row r="797" ht="77.25" customHeight="1">
      <c r="A797" s="28"/>
      <c r="B797" s="29"/>
      <c r="C797" s="28"/>
      <c r="D797" s="29"/>
      <c r="G797" s="29"/>
      <c r="H797" s="29"/>
      <c r="I797" s="29"/>
      <c r="J797" s="29"/>
      <c r="K797" s="29"/>
      <c r="L797" s="29"/>
      <c r="M797" s="29"/>
      <c r="N797" s="29"/>
    </row>
    <row r="798" ht="77.25" customHeight="1">
      <c r="A798" s="28"/>
      <c r="B798" s="29"/>
      <c r="C798" s="28"/>
      <c r="D798" s="29"/>
      <c r="G798" s="29"/>
      <c r="H798" s="29"/>
      <c r="I798" s="29"/>
      <c r="J798" s="29"/>
      <c r="K798" s="29"/>
      <c r="L798" s="29"/>
      <c r="M798" s="29"/>
      <c r="N798" s="29"/>
    </row>
    <row r="799" ht="77.25" customHeight="1">
      <c r="A799" s="28"/>
      <c r="B799" s="29"/>
      <c r="C799" s="28"/>
      <c r="D799" s="29"/>
      <c r="G799" s="29"/>
      <c r="H799" s="29"/>
      <c r="I799" s="29"/>
      <c r="J799" s="29"/>
      <c r="K799" s="29"/>
      <c r="L799" s="29"/>
      <c r="M799" s="29"/>
      <c r="N799" s="29"/>
    </row>
    <row r="800" ht="77.25" customHeight="1">
      <c r="A800" s="28"/>
      <c r="B800" s="29"/>
      <c r="C800" s="28"/>
      <c r="D800" s="29"/>
      <c r="G800" s="29"/>
      <c r="H800" s="29"/>
      <c r="I800" s="29"/>
      <c r="J800" s="29"/>
      <c r="K800" s="29"/>
      <c r="L800" s="29"/>
      <c r="M800" s="29"/>
      <c r="N800" s="29"/>
    </row>
    <row r="801" ht="77.25" customHeight="1">
      <c r="A801" s="28"/>
      <c r="B801" s="29"/>
      <c r="C801" s="28"/>
      <c r="D801" s="29"/>
      <c r="G801" s="29"/>
      <c r="H801" s="29"/>
      <c r="I801" s="29"/>
      <c r="J801" s="29"/>
      <c r="K801" s="29"/>
      <c r="L801" s="29"/>
      <c r="M801" s="29"/>
      <c r="N801" s="29"/>
    </row>
    <row r="802" ht="77.25" customHeight="1">
      <c r="A802" s="28"/>
      <c r="B802" s="29"/>
      <c r="C802" s="28"/>
      <c r="D802" s="29"/>
      <c r="G802" s="29"/>
      <c r="H802" s="29"/>
      <c r="I802" s="29"/>
      <c r="J802" s="29"/>
      <c r="K802" s="29"/>
      <c r="L802" s="29"/>
      <c r="M802" s="29"/>
      <c r="N802" s="29"/>
    </row>
    <row r="803" ht="77.25" customHeight="1">
      <c r="A803" s="28"/>
      <c r="B803" s="29"/>
      <c r="C803" s="28"/>
      <c r="D803" s="29"/>
      <c r="G803" s="29"/>
      <c r="H803" s="29"/>
      <c r="I803" s="29"/>
      <c r="J803" s="29"/>
      <c r="K803" s="29"/>
      <c r="L803" s="29"/>
      <c r="M803" s="29"/>
      <c r="N803" s="29"/>
    </row>
    <row r="804" ht="77.25" customHeight="1">
      <c r="A804" s="28"/>
      <c r="B804" s="29"/>
      <c r="C804" s="28"/>
      <c r="D804" s="29"/>
      <c r="G804" s="29"/>
      <c r="H804" s="29"/>
      <c r="I804" s="29"/>
      <c r="J804" s="29"/>
      <c r="K804" s="29"/>
      <c r="L804" s="29"/>
      <c r="M804" s="29"/>
      <c r="N804" s="29"/>
    </row>
    <row r="805" ht="77.25" customHeight="1">
      <c r="A805" s="28"/>
      <c r="B805" s="29"/>
      <c r="C805" s="28"/>
      <c r="D805" s="29"/>
      <c r="G805" s="29"/>
      <c r="H805" s="29"/>
      <c r="I805" s="29"/>
      <c r="J805" s="29"/>
      <c r="K805" s="29"/>
      <c r="L805" s="29"/>
      <c r="M805" s="29"/>
      <c r="N805" s="29"/>
    </row>
    <row r="806" ht="77.25" customHeight="1">
      <c r="A806" s="28"/>
      <c r="B806" s="29"/>
      <c r="C806" s="28"/>
      <c r="D806" s="29"/>
      <c r="G806" s="29"/>
      <c r="H806" s="29"/>
      <c r="I806" s="29"/>
      <c r="J806" s="29"/>
      <c r="K806" s="29"/>
      <c r="L806" s="29"/>
      <c r="M806" s="29"/>
      <c r="N806" s="29"/>
    </row>
    <row r="807" ht="77.25" customHeight="1">
      <c r="A807" s="28"/>
      <c r="B807" s="29"/>
      <c r="C807" s="28"/>
      <c r="D807" s="29"/>
      <c r="G807" s="29"/>
      <c r="H807" s="29"/>
      <c r="I807" s="29"/>
      <c r="J807" s="29"/>
      <c r="K807" s="29"/>
      <c r="L807" s="29"/>
      <c r="M807" s="29"/>
      <c r="N807" s="29"/>
    </row>
    <row r="808" ht="77.25" customHeight="1">
      <c r="A808" s="28"/>
      <c r="B808" s="29"/>
      <c r="C808" s="28"/>
      <c r="D808" s="29"/>
      <c r="G808" s="29"/>
      <c r="H808" s="29"/>
      <c r="I808" s="29"/>
      <c r="J808" s="29"/>
      <c r="K808" s="29"/>
      <c r="L808" s="29"/>
      <c r="M808" s="29"/>
      <c r="N808" s="29"/>
    </row>
    <row r="809" ht="77.25" customHeight="1">
      <c r="A809" s="28"/>
      <c r="B809" s="29"/>
      <c r="C809" s="28"/>
      <c r="D809" s="29"/>
      <c r="G809" s="29"/>
      <c r="H809" s="29"/>
      <c r="I809" s="29"/>
      <c r="J809" s="29"/>
      <c r="K809" s="29"/>
      <c r="L809" s="29"/>
      <c r="M809" s="29"/>
      <c r="N809" s="29"/>
    </row>
    <row r="810" ht="77.25" customHeight="1">
      <c r="A810" s="28"/>
      <c r="B810" s="29"/>
      <c r="C810" s="28"/>
      <c r="D810" s="29"/>
      <c r="G810" s="29"/>
      <c r="H810" s="29"/>
      <c r="I810" s="29"/>
      <c r="J810" s="29"/>
      <c r="K810" s="29"/>
      <c r="L810" s="29"/>
      <c r="M810" s="29"/>
      <c r="N810" s="29"/>
    </row>
    <row r="811" ht="77.25" customHeight="1">
      <c r="A811" s="28"/>
      <c r="B811" s="29"/>
      <c r="C811" s="28"/>
      <c r="D811" s="29"/>
      <c r="G811" s="29"/>
      <c r="H811" s="29"/>
      <c r="I811" s="29"/>
      <c r="J811" s="29"/>
      <c r="K811" s="29"/>
      <c r="L811" s="29"/>
      <c r="M811" s="29"/>
      <c r="N811" s="29"/>
    </row>
    <row r="812" ht="77.25" customHeight="1">
      <c r="A812" s="28"/>
      <c r="B812" s="29"/>
      <c r="C812" s="28"/>
      <c r="D812" s="29"/>
      <c r="G812" s="29"/>
      <c r="H812" s="29"/>
      <c r="I812" s="29"/>
      <c r="J812" s="29"/>
      <c r="K812" s="29"/>
      <c r="L812" s="29"/>
      <c r="M812" s="29"/>
      <c r="N812" s="29"/>
    </row>
    <row r="813" ht="77.25" customHeight="1">
      <c r="A813" s="28"/>
      <c r="B813" s="29"/>
      <c r="C813" s="28"/>
      <c r="D813" s="29"/>
      <c r="G813" s="29"/>
      <c r="H813" s="29"/>
      <c r="I813" s="29"/>
      <c r="J813" s="29"/>
      <c r="K813" s="29"/>
      <c r="L813" s="29"/>
      <c r="M813" s="29"/>
      <c r="N813" s="29"/>
    </row>
    <row r="814" ht="77.25" customHeight="1">
      <c r="A814" s="28"/>
      <c r="B814" s="29"/>
      <c r="C814" s="28"/>
      <c r="D814" s="29"/>
      <c r="G814" s="29"/>
      <c r="H814" s="29"/>
      <c r="I814" s="29"/>
      <c r="J814" s="29"/>
      <c r="K814" s="29"/>
      <c r="L814" s="29"/>
      <c r="M814" s="29"/>
      <c r="N814" s="29"/>
    </row>
    <row r="815" ht="77.25" customHeight="1">
      <c r="A815" s="28"/>
      <c r="B815" s="29"/>
      <c r="C815" s="28"/>
      <c r="D815" s="29"/>
      <c r="G815" s="29"/>
      <c r="H815" s="29"/>
      <c r="I815" s="29"/>
      <c r="J815" s="29"/>
      <c r="K815" s="29"/>
      <c r="L815" s="29"/>
      <c r="M815" s="29"/>
      <c r="N815" s="29"/>
    </row>
    <row r="816" ht="77.25" customHeight="1">
      <c r="A816" s="28"/>
      <c r="B816" s="29"/>
      <c r="C816" s="28"/>
      <c r="D816" s="29"/>
      <c r="G816" s="29"/>
      <c r="H816" s="29"/>
      <c r="I816" s="29"/>
      <c r="J816" s="29"/>
      <c r="K816" s="29"/>
      <c r="L816" s="29"/>
      <c r="M816" s="29"/>
      <c r="N816" s="29"/>
    </row>
    <row r="817" ht="77.25" customHeight="1">
      <c r="A817" s="28"/>
      <c r="B817" s="29"/>
      <c r="C817" s="28"/>
      <c r="D817" s="29"/>
      <c r="G817" s="29"/>
      <c r="H817" s="29"/>
      <c r="I817" s="29"/>
      <c r="J817" s="29"/>
      <c r="K817" s="29"/>
      <c r="L817" s="29"/>
      <c r="M817" s="29"/>
      <c r="N817" s="29"/>
    </row>
    <row r="818" ht="77.25" customHeight="1">
      <c r="A818" s="28"/>
      <c r="B818" s="29"/>
      <c r="C818" s="28"/>
      <c r="D818" s="29"/>
      <c r="G818" s="29"/>
      <c r="H818" s="29"/>
      <c r="I818" s="29"/>
      <c r="J818" s="29"/>
      <c r="K818" s="29"/>
      <c r="L818" s="29"/>
      <c r="M818" s="29"/>
      <c r="N818" s="29"/>
    </row>
    <row r="819" ht="77.25" customHeight="1">
      <c r="A819" s="28"/>
      <c r="B819" s="29"/>
      <c r="C819" s="28"/>
      <c r="D819" s="29"/>
      <c r="G819" s="29"/>
      <c r="H819" s="29"/>
      <c r="I819" s="29"/>
      <c r="J819" s="29"/>
      <c r="K819" s="29"/>
      <c r="L819" s="29"/>
      <c r="M819" s="29"/>
      <c r="N819" s="29"/>
    </row>
    <row r="820" ht="77.25" customHeight="1">
      <c r="A820" s="28"/>
      <c r="B820" s="29"/>
      <c r="C820" s="28"/>
      <c r="D820" s="29"/>
      <c r="G820" s="29"/>
      <c r="H820" s="29"/>
      <c r="I820" s="29"/>
      <c r="J820" s="29"/>
      <c r="K820" s="29"/>
      <c r="L820" s="29"/>
      <c r="M820" s="29"/>
      <c r="N820" s="29"/>
    </row>
    <row r="821" ht="77.25" customHeight="1">
      <c r="A821" s="28"/>
      <c r="B821" s="29"/>
      <c r="C821" s="28"/>
      <c r="D821" s="29"/>
      <c r="G821" s="29"/>
      <c r="H821" s="29"/>
      <c r="I821" s="29"/>
      <c r="J821" s="29"/>
      <c r="K821" s="29"/>
      <c r="L821" s="29"/>
      <c r="M821" s="29"/>
      <c r="N821" s="29"/>
    </row>
    <row r="822" ht="77.25" customHeight="1">
      <c r="A822" s="28"/>
      <c r="B822" s="29"/>
      <c r="C822" s="28"/>
      <c r="D822" s="29"/>
      <c r="G822" s="29"/>
      <c r="H822" s="29"/>
      <c r="I822" s="29"/>
      <c r="J822" s="29"/>
      <c r="K822" s="29"/>
      <c r="L822" s="29"/>
      <c r="M822" s="29"/>
      <c r="N822" s="29"/>
    </row>
    <row r="823" ht="77.25" customHeight="1">
      <c r="A823" s="28"/>
      <c r="B823" s="29"/>
      <c r="C823" s="28"/>
      <c r="D823" s="29"/>
      <c r="G823" s="29"/>
      <c r="H823" s="29"/>
      <c r="I823" s="29"/>
      <c r="J823" s="29"/>
      <c r="K823" s="29"/>
      <c r="L823" s="29"/>
      <c r="M823" s="29"/>
      <c r="N823" s="29"/>
    </row>
    <row r="824" ht="77.25" customHeight="1">
      <c r="A824" s="28"/>
      <c r="B824" s="29"/>
      <c r="C824" s="28"/>
      <c r="D824" s="29"/>
      <c r="G824" s="29"/>
      <c r="H824" s="29"/>
      <c r="I824" s="29"/>
      <c r="J824" s="29"/>
      <c r="K824" s="29"/>
      <c r="L824" s="29"/>
      <c r="M824" s="29"/>
      <c r="N824" s="29"/>
    </row>
    <row r="825" ht="77.25" customHeight="1">
      <c r="A825" s="28"/>
      <c r="B825" s="29"/>
      <c r="C825" s="28"/>
      <c r="D825" s="29"/>
      <c r="G825" s="29"/>
      <c r="H825" s="29"/>
      <c r="I825" s="29"/>
      <c r="J825" s="29"/>
      <c r="K825" s="29"/>
      <c r="L825" s="29"/>
      <c r="M825" s="29"/>
      <c r="N825" s="29"/>
    </row>
    <row r="826" ht="77.25" customHeight="1">
      <c r="A826" s="28"/>
      <c r="B826" s="29"/>
      <c r="C826" s="28"/>
      <c r="D826" s="29"/>
      <c r="G826" s="29"/>
      <c r="H826" s="29"/>
      <c r="I826" s="29"/>
      <c r="J826" s="29"/>
      <c r="K826" s="29"/>
      <c r="L826" s="29"/>
      <c r="M826" s="29"/>
      <c r="N826" s="29"/>
    </row>
    <row r="827" ht="77.25" customHeight="1">
      <c r="A827" s="28"/>
      <c r="B827" s="29"/>
      <c r="C827" s="28"/>
      <c r="D827" s="29"/>
      <c r="G827" s="29"/>
      <c r="H827" s="29"/>
      <c r="I827" s="29"/>
      <c r="J827" s="29"/>
      <c r="K827" s="29"/>
      <c r="L827" s="29"/>
      <c r="M827" s="29"/>
      <c r="N827" s="29"/>
    </row>
    <row r="828" ht="77.25" customHeight="1">
      <c r="A828" s="28"/>
      <c r="B828" s="29"/>
      <c r="C828" s="28"/>
      <c r="D828" s="29"/>
      <c r="G828" s="29"/>
      <c r="H828" s="29"/>
      <c r="I828" s="29"/>
      <c r="J828" s="29"/>
      <c r="K828" s="29"/>
      <c r="L828" s="29"/>
      <c r="M828" s="29"/>
      <c r="N828" s="29"/>
    </row>
    <row r="829" ht="77.25" customHeight="1">
      <c r="A829" s="28"/>
      <c r="B829" s="29"/>
      <c r="C829" s="28"/>
      <c r="D829" s="29"/>
      <c r="G829" s="29"/>
      <c r="H829" s="29"/>
      <c r="I829" s="29"/>
      <c r="J829" s="29"/>
      <c r="K829" s="29"/>
      <c r="L829" s="29"/>
      <c r="M829" s="29"/>
      <c r="N829" s="29"/>
    </row>
    <row r="830" ht="77.25" customHeight="1">
      <c r="A830" s="28"/>
      <c r="B830" s="29"/>
      <c r="C830" s="28"/>
      <c r="D830" s="29"/>
      <c r="G830" s="29"/>
      <c r="H830" s="29"/>
      <c r="I830" s="29"/>
      <c r="J830" s="29"/>
      <c r="K830" s="29"/>
      <c r="L830" s="29"/>
      <c r="M830" s="29"/>
      <c r="N830" s="29"/>
    </row>
    <row r="831" ht="77.25" customHeight="1">
      <c r="A831" s="28"/>
      <c r="B831" s="29"/>
      <c r="C831" s="28"/>
      <c r="D831" s="29"/>
      <c r="G831" s="29"/>
      <c r="H831" s="29"/>
      <c r="I831" s="29"/>
      <c r="J831" s="29"/>
      <c r="K831" s="29"/>
      <c r="L831" s="29"/>
      <c r="M831" s="29"/>
      <c r="N831" s="29"/>
    </row>
    <row r="832" ht="77.25" customHeight="1">
      <c r="A832" s="28"/>
      <c r="B832" s="29"/>
      <c r="C832" s="28"/>
      <c r="D832" s="29"/>
      <c r="G832" s="29"/>
      <c r="H832" s="29"/>
      <c r="I832" s="29"/>
      <c r="J832" s="29"/>
      <c r="K832" s="29"/>
      <c r="L832" s="29"/>
      <c r="M832" s="29"/>
      <c r="N832" s="29"/>
    </row>
    <row r="833" ht="77.25" customHeight="1">
      <c r="A833" s="28"/>
      <c r="B833" s="29"/>
      <c r="C833" s="28"/>
      <c r="D833" s="29"/>
      <c r="G833" s="29"/>
      <c r="H833" s="29"/>
      <c r="I833" s="29"/>
      <c r="J833" s="29"/>
      <c r="K833" s="29"/>
      <c r="L833" s="29"/>
      <c r="M833" s="29"/>
      <c r="N833" s="29"/>
    </row>
    <row r="834" ht="77.25" customHeight="1">
      <c r="A834" s="28"/>
      <c r="B834" s="29"/>
      <c r="C834" s="28"/>
      <c r="D834" s="29"/>
      <c r="G834" s="29"/>
      <c r="H834" s="29"/>
      <c r="I834" s="29"/>
      <c r="J834" s="29"/>
      <c r="K834" s="29"/>
      <c r="L834" s="29"/>
      <c r="M834" s="29"/>
      <c r="N834" s="29"/>
    </row>
    <row r="835" ht="77.25" customHeight="1">
      <c r="A835" s="28"/>
      <c r="B835" s="29"/>
      <c r="C835" s="28"/>
      <c r="D835" s="29"/>
      <c r="G835" s="29"/>
      <c r="H835" s="29"/>
      <c r="I835" s="29"/>
      <c r="J835" s="29"/>
      <c r="K835" s="29"/>
      <c r="L835" s="29"/>
      <c r="M835" s="29"/>
      <c r="N835" s="29"/>
    </row>
    <row r="836" ht="77.25" customHeight="1">
      <c r="A836" s="28"/>
      <c r="B836" s="29"/>
      <c r="C836" s="28"/>
      <c r="D836" s="29"/>
      <c r="G836" s="29"/>
      <c r="H836" s="29"/>
      <c r="I836" s="29"/>
      <c r="J836" s="29"/>
      <c r="K836" s="29"/>
      <c r="L836" s="29"/>
      <c r="M836" s="29"/>
      <c r="N836" s="29"/>
    </row>
    <row r="837" ht="77.25" customHeight="1">
      <c r="A837" s="28"/>
      <c r="B837" s="29"/>
      <c r="C837" s="28"/>
      <c r="D837" s="29"/>
      <c r="G837" s="29"/>
      <c r="H837" s="29"/>
      <c r="I837" s="29"/>
      <c r="J837" s="29"/>
      <c r="K837" s="29"/>
      <c r="L837" s="29"/>
      <c r="M837" s="29"/>
      <c r="N837" s="29"/>
    </row>
    <row r="838" ht="77.25" customHeight="1">
      <c r="A838" s="28"/>
      <c r="B838" s="29"/>
      <c r="C838" s="28"/>
      <c r="D838" s="29"/>
      <c r="G838" s="29"/>
      <c r="H838" s="29"/>
      <c r="I838" s="29"/>
      <c r="J838" s="29"/>
      <c r="K838" s="29"/>
      <c r="L838" s="29"/>
      <c r="M838" s="29"/>
      <c r="N838" s="29"/>
    </row>
    <row r="839" ht="77.25" customHeight="1">
      <c r="A839" s="28"/>
      <c r="B839" s="29"/>
      <c r="C839" s="28"/>
      <c r="D839" s="29"/>
      <c r="G839" s="29"/>
      <c r="H839" s="29"/>
      <c r="I839" s="29"/>
      <c r="J839" s="29"/>
      <c r="K839" s="29"/>
      <c r="L839" s="29"/>
      <c r="M839" s="29"/>
      <c r="N839" s="29"/>
    </row>
    <row r="840" ht="77.25" customHeight="1">
      <c r="A840" s="28"/>
      <c r="B840" s="29"/>
      <c r="C840" s="28"/>
      <c r="D840" s="29"/>
      <c r="G840" s="29"/>
      <c r="H840" s="29"/>
      <c r="I840" s="29"/>
      <c r="J840" s="29"/>
      <c r="K840" s="29"/>
      <c r="L840" s="29"/>
      <c r="M840" s="29"/>
      <c r="N840" s="29"/>
    </row>
    <row r="841" ht="77.25" customHeight="1">
      <c r="A841" s="28"/>
      <c r="B841" s="29"/>
      <c r="C841" s="28"/>
      <c r="D841" s="29"/>
      <c r="G841" s="29"/>
      <c r="H841" s="29"/>
      <c r="I841" s="29"/>
      <c r="J841" s="29"/>
      <c r="K841" s="29"/>
      <c r="L841" s="29"/>
      <c r="M841" s="29"/>
      <c r="N841" s="29"/>
    </row>
    <row r="842" ht="77.25" customHeight="1">
      <c r="A842" s="28"/>
      <c r="B842" s="29"/>
      <c r="C842" s="28"/>
      <c r="D842" s="29"/>
      <c r="G842" s="29"/>
      <c r="H842" s="29"/>
      <c r="I842" s="29"/>
      <c r="J842" s="29"/>
      <c r="K842" s="29"/>
      <c r="L842" s="29"/>
      <c r="M842" s="29"/>
      <c r="N842" s="29"/>
    </row>
    <row r="843" ht="77.25" customHeight="1">
      <c r="A843" s="28"/>
      <c r="B843" s="29"/>
      <c r="C843" s="28"/>
      <c r="D843" s="29"/>
      <c r="G843" s="29"/>
      <c r="H843" s="29"/>
      <c r="I843" s="29"/>
      <c r="J843" s="29"/>
      <c r="K843" s="29"/>
      <c r="L843" s="29"/>
      <c r="M843" s="29"/>
      <c r="N843" s="29"/>
    </row>
    <row r="844" ht="77.25" customHeight="1">
      <c r="A844" s="28"/>
      <c r="B844" s="29"/>
      <c r="C844" s="28"/>
      <c r="D844" s="29"/>
      <c r="G844" s="29"/>
      <c r="H844" s="29"/>
      <c r="I844" s="29"/>
      <c r="J844" s="29"/>
      <c r="K844" s="29"/>
      <c r="L844" s="29"/>
      <c r="M844" s="29"/>
      <c r="N844" s="29"/>
    </row>
    <row r="845" ht="77.25" customHeight="1">
      <c r="A845" s="28"/>
      <c r="B845" s="29"/>
      <c r="C845" s="28"/>
      <c r="D845" s="29"/>
      <c r="G845" s="29"/>
      <c r="H845" s="29"/>
      <c r="I845" s="29"/>
      <c r="J845" s="29"/>
      <c r="K845" s="29"/>
      <c r="L845" s="29"/>
      <c r="M845" s="29"/>
      <c r="N845" s="29"/>
    </row>
    <row r="846" ht="77.25" customHeight="1">
      <c r="A846" s="28"/>
      <c r="B846" s="29"/>
      <c r="C846" s="28"/>
      <c r="D846" s="29"/>
      <c r="G846" s="29"/>
      <c r="H846" s="29"/>
      <c r="I846" s="29"/>
      <c r="J846" s="29"/>
      <c r="K846" s="29"/>
      <c r="L846" s="29"/>
      <c r="M846" s="29"/>
      <c r="N846" s="29"/>
    </row>
    <row r="847" ht="77.25" customHeight="1">
      <c r="A847" s="28"/>
      <c r="B847" s="29"/>
      <c r="C847" s="28"/>
      <c r="D847" s="29"/>
      <c r="G847" s="29"/>
      <c r="H847" s="29"/>
      <c r="I847" s="29"/>
      <c r="J847" s="29"/>
      <c r="K847" s="29"/>
      <c r="L847" s="29"/>
      <c r="M847" s="29"/>
      <c r="N847" s="29"/>
    </row>
    <row r="848" ht="77.25" customHeight="1">
      <c r="A848" s="28"/>
      <c r="B848" s="29"/>
      <c r="C848" s="28"/>
      <c r="D848" s="29"/>
      <c r="G848" s="29"/>
      <c r="H848" s="29"/>
      <c r="I848" s="29"/>
      <c r="J848" s="29"/>
      <c r="K848" s="29"/>
      <c r="L848" s="29"/>
      <c r="M848" s="29"/>
      <c r="N848" s="29"/>
    </row>
    <row r="849" ht="77.25" customHeight="1">
      <c r="A849" s="28"/>
      <c r="B849" s="29"/>
      <c r="C849" s="28"/>
      <c r="D849" s="29"/>
      <c r="G849" s="29"/>
      <c r="H849" s="29"/>
      <c r="I849" s="29"/>
      <c r="J849" s="29"/>
      <c r="K849" s="29"/>
      <c r="L849" s="29"/>
      <c r="M849" s="29"/>
      <c r="N849" s="29"/>
    </row>
    <row r="850" ht="77.25" customHeight="1">
      <c r="A850" s="28"/>
      <c r="B850" s="29"/>
      <c r="C850" s="28"/>
      <c r="D850" s="29"/>
      <c r="G850" s="29"/>
      <c r="H850" s="29"/>
      <c r="I850" s="29"/>
      <c r="J850" s="29"/>
      <c r="K850" s="29"/>
      <c r="L850" s="29"/>
      <c r="M850" s="29"/>
      <c r="N850" s="29"/>
    </row>
    <row r="851" ht="77.25" customHeight="1">
      <c r="A851" s="28"/>
      <c r="B851" s="29"/>
      <c r="C851" s="28"/>
      <c r="D851" s="29"/>
      <c r="G851" s="29"/>
      <c r="H851" s="29"/>
      <c r="I851" s="29"/>
      <c r="J851" s="29"/>
      <c r="K851" s="29"/>
      <c r="L851" s="29"/>
      <c r="M851" s="29"/>
      <c r="N851" s="29"/>
    </row>
    <row r="852" ht="77.25" customHeight="1">
      <c r="A852" s="28"/>
      <c r="B852" s="29"/>
      <c r="C852" s="28"/>
      <c r="D852" s="29"/>
      <c r="G852" s="29"/>
      <c r="H852" s="29"/>
      <c r="I852" s="29"/>
      <c r="J852" s="29"/>
      <c r="K852" s="29"/>
      <c r="L852" s="29"/>
      <c r="M852" s="29"/>
      <c r="N852" s="29"/>
    </row>
    <row r="853" ht="77.25" customHeight="1">
      <c r="A853" s="28"/>
      <c r="B853" s="29"/>
      <c r="C853" s="28"/>
      <c r="D853" s="29"/>
      <c r="G853" s="29"/>
      <c r="H853" s="29"/>
      <c r="I853" s="29"/>
      <c r="J853" s="29"/>
      <c r="K853" s="29"/>
      <c r="L853" s="29"/>
      <c r="M853" s="29"/>
      <c r="N853" s="29"/>
    </row>
    <row r="854" ht="77.25" customHeight="1">
      <c r="A854" s="28"/>
      <c r="B854" s="29"/>
      <c r="C854" s="28"/>
      <c r="D854" s="29"/>
      <c r="G854" s="29"/>
      <c r="H854" s="29"/>
      <c r="I854" s="29"/>
      <c r="J854" s="29"/>
      <c r="K854" s="29"/>
      <c r="L854" s="29"/>
      <c r="M854" s="29"/>
      <c r="N854" s="29"/>
    </row>
    <row r="855" ht="77.25" customHeight="1">
      <c r="A855" s="28"/>
      <c r="B855" s="29"/>
      <c r="C855" s="28"/>
      <c r="D855" s="29"/>
      <c r="G855" s="29"/>
      <c r="H855" s="29"/>
      <c r="I855" s="29"/>
      <c r="J855" s="29"/>
      <c r="K855" s="29"/>
      <c r="L855" s="29"/>
      <c r="M855" s="29"/>
      <c r="N855" s="29"/>
    </row>
    <row r="856" ht="77.25" customHeight="1">
      <c r="A856" s="28"/>
      <c r="B856" s="29"/>
      <c r="C856" s="28"/>
      <c r="D856" s="29"/>
      <c r="G856" s="29"/>
      <c r="H856" s="29"/>
      <c r="I856" s="29"/>
      <c r="J856" s="29"/>
      <c r="K856" s="29"/>
      <c r="L856" s="29"/>
      <c r="M856" s="29"/>
      <c r="N856" s="29"/>
    </row>
    <row r="857" ht="77.25" customHeight="1">
      <c r="A857" s="28"/>
      <c r="B857" s="29"/>
      <c r="C857" s="28"/>
      <c r="D857" s="29"/>
      <c r="G857" s="29"/>
      <c r="H857" s="29"/>
      <c r="I857" s="29"/>
      <c r="J857" s="29"/>
      <c r="K857" s="29"/>
      <c r="L857" s="29"/>
      <c r="M857" s="29"/>
      <c r="N857" s="29"/>
    </row>
    <row r="858" ht="77.25" customHeight="1">
      <c r="A858" s="28"/>
      <c r="B858" s="29"/>
      <c r="C858" s="28"/>
      <c r="D858" s="29"/>
      <c r="G858" s="29"/>
      <c r="H858" s="29"/>
      <c r="I858" s="29"/>
      <c r="J858" s="29"/>
      <c r="K858" s="29"/>
      <c r="L858" s="29"/>
      <c r="M858" s="29"/>
      <c r="N858" s="29"/>
    </row>
    <row r="859" ht="77.25" customHeight="1">
      <c r="A859" s="28"/>
      <c r="B859" s="29"/>
      <c r="C859" s="28"/>
      <c r="D859" s="29"/>
      <c r="G859" s="29"/>
      <c r="H859" s="29"/>
      <c r="I859" s="29"/>
      <c r="J859" s="29"/>
      <c r="K859" s="29"/>
      <c r="L859" s="29"/>
      <c r="M859" s="29"/>
      <c r="N859" s="29"/>
    </row>
    <row r="860" ht="77.25" customHeight="1">
      <c r="A860" s="28"/>
      <c r="B860" s="29"/>
      <c r="C860" s="28"/>
      <c r="D860" s="29"/>
      <c r="G860" s="29"/>
      <c r="H860" s="29"/>
      <c r="I860" s="29"/>
      <c r="J860" s="29"/>
      <c r="K860" s="29"/>
      <c r="L860" s="29"/>
      <c r="M860" s="29"/>
      <c r="N860" s="29"/>
    </row>
    <row r="861" ht="77.25" customHeight="1">
      <c r="A861" s="28"/>
      <c r="B861" s="29"/>
      <c r="C861" s="28"/>
      <c r="D861" s="29"/>
      <c r="G861" s="29"/>
      <c r="H861" s="29"/>
      <c r="I861" s="29"/>
      <c r="J861" s="29"/>
      <c r="K861" s="29"/>
      <c r="L861" s="29"/>
      <c r="M861" s="29"/>
      <c r="N861" s="29"/>
    </row>
    <row r="862" ht="77.25" customHeight="1">
      <c r="A862" s="28"/>
      <c r="B862" s="29"/>
      <c r="C862" s="28"/>
      <c r="D862" s="29"/>
      <c r="G862" s="29"/>
      <c r="H862" s="29"/>
      <c r="I862" s="29"/>
      <c r="J862" s="29"/>
      <c r="K862" s="29"/>
      <c r="L862" s="29"/>
      <c r="M862" s="29"/>
      <c r="N862" s="29"/>
    </row>
    <row r="863" ht="77.25" customHeight="1">
      <c r="A863" s="28"/>
      <c r="B863" s="29"/>
      <c r="C863" s="28"/>
      <c r="D863" s="29"/>
      <c r="G863" s="29"/>
      <c r="H863" s="29"/>
      <c r="I863" s="29"/>
      <c r="J863" s="29"/>
      <c r="K863" s="29"/>
      <c r="L863" s="29"/>
      <c r="M863" s="29"/>
      <c r="N863" s="29"/>
    </row>
    <row r="864" ht="77.25" customHeight="1">
      <c r="A864" s="28"/>
      <c r="B864" s="29"/>
      <c r="C864" s="28"/>
      <c r="D864" s="29"/>
      <c r="G864" s="29"/>
      <c r="H864" s="29"/>
      <c r="I864" s="29"/>
      <c r="J864" s="29"/>
      <c r="K864" s="29"/>
      <c r="L864" s="29"/>
      <c r="M864" s="29"/>
      <c r="N864" s="29"/>
    </row>
    <row r="865" ht="77.25" customHeight="1">
      <c r="A865" s="28"/>
      <c r="B865" s="29"/>
      <c r="C865" s="28"/>
      <c r="D865" s="29"/>
      <c r="G865" s="29"/>
      <c r="H865" s="29"/>
      <c r="I865" s="29"/>
      <c r="J865" s="29"/>
      <c r="K865" s="29"/>
      <c r="L865" s="29"/>
      <c r="M865" s="29"/>
      <c r="N865" s="29"/>
    </row>
    <row r="866" ht="77.25" customHeight="1">
      <c r="A866" s="28"/>
      <c r="B866" s="29"/>
      <c r="C866" s="28"/>
      <c r="D866" s="29"/>
      <c r="G866" s="29"/>
      <c r="H866" s="29"/>
      <c r="I866" s="29"/>
      <c r="J866" s="29"/>
      <c r="K866" s="29"/>
      <c r="L866" s="29"/>
      <c r="M866" s="29"/>
      <c r="N866" s="29"/>
    </row>
    <row r="867" ht="77.25" customHeight="1">
      <c r="A867" s="28"/>
      <c r="B867" s="29"/>
      <c r="C867" s="28"/>
      <c r="D867" s="29"/>
      <c r="G867" s="29"/>
      <c r="H867" s="29"/>
      <c r="I867" s="29"/>
      <c r="J867" s="29"/>
      <c r="K867" s="29"/>
      <c r="L867" s="29"/>
      <c r="M867" s="29"/>
      <c r="N867" s="29"/>
    </row>
    <row r="868" ht="77.25" customHeight="1">
      <c r="A868" s="28"/>
      <c r="B868" s="29"/>
      <c r="C868" s="28"/>
      <c r="D868" s="29"/>
      <c r="G868" s="29"/>
      <c r="H868" s="29"/>
      <c r="I868" s="29"/>
      <c r="J868" s="29"/>
      <c r="K868" s="29"/>
      <c r="L868" s="29"/>
      <c r="M868" s="29"/>
      <c r="N868" s="29"/>
    </row>
    <row r="869" ht="77.25" customHeight="1">
      <c r="A869" s="28"/>
      <c r="B869" s="29"/>
      <c r="C869" s="28"/>
      <c r="D869" s="29"/>
      <c r="G869" s="29"/>
      <c r="H869" s="29"/>
      <c r="I869" s="29"/>
      <c r="J869" s="29"/>
      <c r="K869" s="29"/>
      <c r="L869" s="29"/>
      <c r="M869" s="29"/>
      <c r="N869" s="29"/>
    </row>
    <row r="870" ht="77.25" customHeight="1">
      <c r="A870" s="28"/>
      <c r="B870" s="29"/>
      <c r="C870" s="28"/>
      <c r="D870" s="29"/>
      <c r="G870" s="29"/>
      <c r="H870" s="29"/>
      <c r="I870" s="29"/>
      <c r="J870" s="29"/>
      <c r="K870" s="29"/>
      <c r="L870" s="29"/>
      <c r="M870" s="29"/>
      <c r="N870" s="29"/>
    </row>
    <row r="871" ht="77.25" customHeight="1">
      <c r="A871" s="28"/>
      <c r="B871" s="29"/>
      <c r="C871" s="28"/>
      <c r="D871" s="29"/>
      <c r="G871" s="29"/>
      <c r="H871" s="29"/>
      <c r="I871" s="29"/>
      <c r="J871" s="29"/>
      <c r="K871" s="29"/>
      <c r="L871" s="29"/>
      <c r="M871" s="29"/>
      <c r="N871" s="29"/>
    </row>
    <row r="872" ht="77.25" customHeight="1">
      <c r="A872" s="28"/>
      <c r="B872" s="29"/>
      <c r="C872" s="28"/>
      <c r="D872" s="29"/>
      <c r="G872" s="29"/>
      <c r="H872" s="29"/>
      <c r="I872" s="29"/>
      <c r="J872" s="29"/>
      <c r="K872" s="29"/>
      <c r="L872" s="29"/>
      <c r="M872" s="29"/>
      <c r="N872" s="29"/>
    </row>
    <row r="873" ht="77.25" customHeight="1">
      <c r="A873" s="28"/>
      <c r="B873" s="29"/>
      <c r="C873" s="28"/>
      <c r="D873" s="29"/>
      <c r="G873" s="29"/>
      <c r="H873" s="29"/>
      <c r="I873" s="29"/>
      <c r="J873" s="29"/>
      <c r="K873" s="29"/>
      <c r="L873" s="29"/>
      <c r="M873" s="29"/>
      <c r="N873" s="29"/>
    </row>
    <row r="874" ht="77.25" customHeight="1">
      <c r="A874" s="28"/>
      <c r="B874" s="29"/>
      <c r="C874" s="28"/>
      <c r="D874" s="29"/>
      <c r="G874" s="29"/>
      <c r="H874" s="29"/>
      <c r="I874" s="29"/>
      <c r="J874" s="29"/>
      <c r="K874" s="29"/>
      <c r="L874" s="29"/>
      <c r="M874" s="29"/>
      <c r="N874" s="29"/>
    </row>
    <row r="875" ht="77.25" customHeight="1">
      <c r="A875" s="28"/>
      <c r="B875" s="29"/>
      <c r="C875" s="28"/>
      <c r="D875" s="29"/>
      <c r="G875" s="29"/>
      <c r="H875" s="29"/>
      <c r="I875" s="29"/>
      <c r="J875" s="29"/>
      <c r="K875" s="29"/>
      <c r="L875" s="29"/>
      <c r="M875" s="29"/>
      <c r="N875" s="29"/>
    </row>
    <row r="876" ht="77.25" customHeight="1">
      <c r="A876" s="28"/>
      <c r="B876" s="29"/>
      <c r="C876" s="28"/>
      <c r="D876" s="29"/>
      <c r="G876" s="29"/>
      <c r="H876" s="29"/>
      <c r="I876" s="29"/>
      <c r="J876" s="29"/>
      <c r="K876" s="29"/>
      <c r="L876" s="29"/>
      <c r="M876" s="29"/>
      <c r="N876" s="29"/>
    </row>
    <row r="877" ht="77.25" customHeight="1">
      <c r="A877" s="28"/>
      <c r="B877" s="29"/>
      <c r="C877" s="28"/>
      <c r="D877" s="29"/>
      <c r="G877" s="29"/>
      <c r="H877" s="29"/>
      <c r="I877" s="29"/>
      <c r="J877" s="29"/>
      <c r="K877" s="29"/>
      <c r="L877" s="29"/>
      <c r="M877" s="29"/>
      <c r="N877" s="29"/>
    </row>
    <row r="878" ht="77.25" customHeight="1">
      <c r="A878" s="28"/>
      <c r="B878" s="29"/>
      <c r="C878" s="28"/>
      <c r="D878" s="29"/>
      <c r="G878" s="29"/>
      <c r="H878" s="29"/>
      <c r="I878" s="29"/>
      <c r="J878" s="29"/>
      <c r="K878" s="29"/>
      <c r="L878" s="29"/>
      <c r="M878" s="29"/>
      <c r="N878" s="29"/>
    </row>
    <row r="879" ht="77.25" customHeight="1">
      <c r="A879" s="28"/>
      <c r="B879" s="29"/>
      <c r="C879" s="28"/>
      <c r="D879" s="29"/>
      <c r="G879" s="29"/>
      <c r="H879" s="29"/>
      <c r="I879" s="29"/>
      <c r="J879" s="29"/>
      <c r="K879" s="29"/>
      <c r="L879" s="29"/>
      <c r="M879" s="29"/>
      <c r="N879" s="29"/>
    </row>
    <row r="880" ht="77.25" customHeight="1">
      <c r="A880" s="28"/>
      <c r="B880" s="29"/>
      <c r="C880" s="28"/>
      <c r="D880" s="29"/>
      <c r="G880" s="29"/>
      <c r="H880" s="29"/>
      <c r="I880" s="29"/>
      <c r="J880" s="29"/>
      <c r="K880" s="29"/>
      <c r="L880" s="29"/>
      <c r="M880" s="29"/>
      <c r="N880" s="29"/>
    </row>
    <row r="881" ht="77.25" customHeight="1">
      <c r="A881" s="28"/>
      <c r="B881" s="29"/>
      <c r="C881" s="28"/>
      <c r="D881" s="29"/>
      <c r="G881" s="29"/>
      <c r="H881" s="29"/>
      <c r="I881" s="29"/>
      <c r="J881" s="29"/>
      <c r="K881" s="29"/>
      <c r="L881" s="29"/>
      <c r="M881" s="29"/>
      <c r="N881" s="29"/>
    </row>
    <row r="882" ht="77.25" customHeight="1">
      <c r="A882" s="28"/>
      <c r="B882" s="29"/>
      <c r="C882" s="28"/>
      <c r="D882" s="29"/>
      <c r="G882" s="29"/>
      <c r="H882" s="29"/>
      <c r="I882" s="29"/>
      <c r="J882" s="29"/>
      <c r="K882" s="29"/>
      <c r="L882" s="29"/>
      <c r="M882" s="29"/>
      <c r="N882" s="29"/>
    </row>
    <row r="883" ht="77.25" customHeight="1">
      <c r="A883" s="28"/>
      <c r="B883" s="29"/>
      <c r="C883" s="28"/>
      <c r="D883" s="29"/>
      <c r="G883" s="29"/>
      <c r="H883" s="29"/>
      <c r="I883" s="29"/>
      <c r="J883" s="29"/>
      <c r="K883" s="29"/>
      <c r="L883" s="29"/>
      <c r="M883" s="29"/>
      <c r="N883" s="29"/>
    </row>
    <row r="884" ht="77.25" customHeight="1">
      <c r="A884" s="28"/>
      <c r="B884" s="29"/>
      <c r="C884" s="28"/>
      <c r="D884" s="29"/>
      <c r="G884" s="29"/>
      <c r="H884" s="29"/>
      <c r="I884" s="29"/>
      <c r="J884" s="29"/>
      <c r="K884" s="29"/>
      <c r="L884" s="29"/>
      <c r="M884" s="29"/>
      <c r="N884" s="29"/>
    </row>
    <row r="885" ht="77.25" customHeight="1">
      <c r="A885" s="28"/>
      <c r="B885" s="29"/>
      <c r="C885" s="28"/>
      <c r="D885" s="29"/>
      <c r="G885" s="29"/>
      <c r="H885" s="29"/>
      <c r="I885" s="29"/>
      <c r="J885" s="29"/>
      <c r="K885" s="29"/>
      <c r="L885" s="29"/>
      <c r="M885" s="29"/>
      <c r="N885" s="29"/>
    </row>
    <row r="886" ht="77.25" customHeight="1">
      <c r="A886" s="28"/>
      <c r="B886" s="29"/>
      <c r="C886" s="28"/>
      <c r="D886" s="29"/>
      <c r="G886" s="29"/>
      <c r="H886" s="29"/>
      <c r="I886" s="29"/>
      <c r="J886" s="29"/>
      <c r="K886" s="29"/>
      <c r="L886" s="29"/>
      <c r="M886" s="29"/>
      <c r="N886" s="29"/>
    </row>
    <row r="887" ht="77.25" customHeight="1">
      <c r="A887" s="28"/>
      <c r="B887" s="29"/>
      <c r="C887" s="28"/>
      <c r="D887" s="29"/>
      <c r="G887" s="29"/>
      <c r="H887" s="29"/>
      <c r="I887" s="29"/>
      <c r="J887" s="29"/>
      <c r="K887" s="29"/>
      <c r="L887" s="29"/>
      <c r="M887" s="29"/>
      <c r="N887" s="29"/>
    </row>
    <row r="888" ht="77.25" customHeight="1">
      <c r="A888" s="28"/>
      <c r="B888" s="29"/>
      <c r="C888" s="28"/>
      <c r="D888" s="29"/>
      <c r="G888" s="29"/>
      <c r="H888" s="29"/>
      <c r="I888" s="29"/>
      <c r="J888" s="29"/>
      <c r="K888" s="29"/>
      <c r="L888" s="29"/>
      <c r="M888" s="29"/>
      <c r="N888" s="29"/>
    </row>
    <row r="889" ht="77.25" customHeight="1">
      <c r="A889" s="28"/>
      <c r="B889" s="29"/>
      <c r="C889" s="28"/>
      <c r="D889" s="29"/>
      <c r="G889" s="29"/>
      <c r="H889" s="29"/>
      <c r="I889" s="29"/>
      <c r="J889" s="29"/>
      <c r="K889" s="29"/>
      <c r="L889" s="29"/>
      <c r="M889" s="29"/>
      <c r="N889" s="29"/>
    </row>
    <row r="890" ht="77.25" customHeight="1">
      <c r="A890" s="28"/>
      <c r="B890" s="29"/>
      <c r="C890" s="28"/>
      <c r="D890" s="29"/>
      <c r="G890" s="29"/>
      <c r="H890" s="29"/>
      <c r="I890" s="29"/>
      <c r="J890" s="29"/>
      <c r="K890" s="29"/>
      <c r="L890" s="29"/>
      <c r="M890" s="29"/>
      <c r="N890" s="29"/>
    </row>
    <row r="891" ht="77.25" customHeight="1">
      <c r="A891" s="28"/>
      <c r="B891" s="29"/>
      <c r="C891" s="28"/>
      <c r="D891" s="29"/>
      <c r="G891" s="29"/>
      <c r="H891" s="29"/>
      <c r="I891" s="29"/>
      <c r="J891" s="29"/>
      <c r="K891" s="29"/>
      <c r="L891" s="29"/>
      <c r="M891" s="29"/>
      <c r="N891" s="29"/>
    </row>
    <row r="892" ht="77.25" customHeight="1">
      <c r="A892" s="28"/>
      <c r="B892" s="29"/>
      <c r="C892" s="28"/>
      <c r="D892" s="29"/>
      <c r="G892" s="29"/>
      <c r="H892" s="29"/>
      <c r="I892" s="29"/>
      <c r="J892" s="29"/>
      <c r="K892" s="29"/>
      <c r="L892" s="29"/>
      <c r="M892" s="29"/>
      <c r="N892" s="29"/>
    </row>
    <row r="893" ht="77.25" customHeight="1">
      <c r="A893" s="28"/>
      <c r="B893" s="29"/>
      <c r="C893" s="28"/>
      <c r="D893" s="29"/>
      <c r="G893" s="29"/>
      <c r="H893" s="29"/>
      <c r="I893" s="29"/>
      <c r="J893" s="29"/>
      <c r="K893" s="29"/>
      <c r="L893" s="29"/>
      <c r="M893" s="29"/>
      <c r="N893" s="29"/>
    </row>
    <row r="894" ht="77.25" customHeight="1">
      <c r="A894" s="28"/>
      <c r="B894" s="29"/>
      <c r="C894" s="28"/>
      <c r="D894" s="29"/>
      <c r="G894" s="29"/>
      <c r="H894" s="29"/>
      <c r="I894" s="29"/>
      <c r="J894" s="29"/>
      <c r="K894" s="29"/>
      <c r="L894" s="29"/>
      <c r="M894" s="29"/>
      <c r="N894" s="29"/>
    </row>
    <row r="895" ht="77.25" customHeight="1">
      <c r="A895" s="28"/>
      <c r="B895" s="29"/>
      <c r="C895" s="28"/>
      <c r="D895" s="29"/>
      <c r="G895" s="29"/>
      <c r="H895" s="29"/>
      <c r="I895" s="29"/>
      <c r="J895" s="29"/>
      <c r="K895" s="29"/>
      <c r="L895" s="29"/>
      <c r="M895" s="29"/>
      <c r="N895" s="29"/>
    </row>
    <row r="896" ht="77.25" customHeight="1">
      <c r="A896" s="28"/>
      <c r="B896" s="29"/>
      <c r="C896" s="28"/>
      <c r="D896" s="29"/>
      <c r="G896" s="29"/>
      <c r="H896" s="29"/>
      <c r="I896" s="29"/>
      <c r="J896" s="29"/>
      <c r="K896" s="29"/>
      <c r="L896" s="29"/>
      <c r="M896" s="29"/>
      <c r="N896" s="29"/>
    </row>
    <row r="897" ht="77.25" customHeight="1">
      <c r="A897" s="28"/>
      <c r="B897" s="29"/>
      <c r="C897" s="28"/>
      <c r="D897" s="29"/>
      <c r="G897" s="29"/>
      <c r="H897" s="29"/>
      <c r="I897" s="29"/>
      <c r="J897" s="29"/>
      <c r="K897" s="29"/>
      <c r="L897" s="29"/>
      <c r="M897" s="29"/>
      <c r="N897" s="29"/>
    </row>
    <row r="898" ht="77.25" customHeight="1">
      <c r="A898" s="28"/>
      <c r="B898" s="29"/>
      <c r="C898" s="28"/>
      <c r="D898" s="29"/>
      <c r="G898" s="29"/>
      <c r="H898" s="29"/>
      <c r="I898" s="29"/>
      <c r="J898" s="29"/>
      <c r="K898" s="29"/>
      <c r="L898" s="29"/>
      <c r="M898" s="29"/>
      <c r="N898" s="29"/>
    </row>
    <row r="899" ht="77.25" customHeight="1">
      <c r="A899" s="28"/>
      <c r="B899" s="29"/>
      <c r="C899" s="28"/>
      <c r="D899" s="29"/>
      <c r="G899" s="29"/>
      <c r="H899" s="29"/>
      <c r="I899" s="29"/>
      <c r="J899" s="29"/>
      <c r="K899" s="29"/>
      <c r="L899" s="29"/>
      <c r="M899" s="29"/>
      <c r="N899" s="29"/>
    </row>
    <row r="900" ht="77.25" customHeight="1">
      <c r="A900" s="28"/>
      <c r="B900" s="29"/>
      <c r="C900" s="28"/>
      <c r="D900" s="29"/>
      <c r="G900" s="29"/>
      <c r="H900" s="29"/>
      <c r="I900" s="29"/>
      <c r="J900" s="29"/>
      <c r="K900" s="29"/>
      <c r="L900" s="29"/>
      <c r="M900" s="29"/>
      <c r="N900" s="29"/>
    </row>
    <row r="901" ht="77.25" customHeight="1">
      <c r="A901" s="28"/>
      <c r="B901" s="29"/>
      <c r="C901" s="28"/>
      <c r="D901" s="29"/>
      <c r="G901" s="29"/>
      <c r="H901" s="29"/>
      <c r="I901" s="29"/>
      <c r="J901" s="29"/>
      <c r="K901" s="29"/>
      <c r="L901" s="29"/>
      <c r="M901" s="29"/>
      <c r="N901" s="29"/>
    </row>
    <row r="902" ht="77.25" customHeight="1">
      <c r="A902" s="28"/>
      <c r="B902" s="29"/>
      <c r="C902" s="28"/>
      <c r="D902" s="29"/>
      <c r="G902" s="29"/>
      <c r="H902" s="29"/>
      <c r="I902" s="29"/>
      <c r="J902" s="29"/>
      <c r="K902" s="29"/>
      <c r="L902" s="29"/>
      <c r="M902" s="29"/>
      <c r="N902" s="29"/>
    </row>
    <row r="903" ht="77.25" customHeight="1">
      <c r="A903" s="28"/>
      <c r="B903" s="29"/>
      <c r="C903" s="28"/>
      <c r="D903" s="29"/>
      <c r="G903" s="29"/>
      <c r="H903" s="29"/>
      <c r="I903" s="29"/>
      <c r="J903" s="29"/>
      <c r="K903" s="29"/>
      <c r="L903" s="29"/>
      <c r="M903" s="29"/>
      <c r="N903" s="29"/>
    </row>
    <row r="904" ht="77.25" customHeight="1">
      <c r="A904" s="28"/>
      <c r="B904" s="29"/>
      <c r="C904" s="28"/>
      <c r="D904" s="29"/>
      <c r="G904" s="29"/>
      <c r="H904" s="29"/>
      <c r="I904" s="29"/>
      <c r="J904" s="29"/>
      <c r="K904" s="29"/>
      <c r="L904" s="29"/>
      <c r="M904" s="29"/>
      <c r="N904" s="29"/>
    </row>
    <row r="905" ht="77.25" customHeight="1">
      <c r="A905" s="28"/>
      <c r="B905" s="29"/>
      <c r="C905" s="28"/>
      <c r="D905" s="29"/>
      <c r="G905" s="29"/>
      <c r="H905" s="29"/>
      <c r="I905" s="29"/>
      <c r="J905" s="29"/>
      <c r="K905" s="29"/>
      <c r="L905" s="29"/>
      <c r="M905" s="29"/>
      <c r="N905" s="29"/>
    </row>
    <row r="906" ht="77.25" customHeight="1">
      <c r="A906" s="28"/>
      <c r="B906" s="29"/>
      <c r="C906" s="28"/>
      <c r="D906" s="29"/>
      <c r="G906" s="29"/>
      <c r="H906" s="29"/>
      <c r="I906" s="29"/>
      <c r="J906" s="29"/>
      <c r="K906" s="29"/>
      <c r="L906" s="29"/>
      <c r="M906" s="29"/>
      <c r="N906" s="29"/>
    </row>
    <row r="907" ht="77.25" customHeight="1">
      <c r="A907" s="28"/>
      <c r="B907" s="29"/>
      <c r="C907" s="28"/>
      <c r="D907" s="29"/>
      <c r="G907" s="29"/>
      <c r="H907" s="29"/>
      <c r="I907" s="29"/>
      <c r="J907" s="29"/>
      <c r="K907" s="29"/>
      <c r="L907" s="29"/>
      <c r="M907" s="29"/>
      <c r="N907" s="29"/>
    </row>
    <row r="908" ht="77.25" customHeight="1">
      <c r="A908" s="28"/>
      <c r="B908" s="29"/>
      <c r="C908" s="28"/>
      <c r="D908" s="29"/>
      <c r="G908" s="29"/>
      <c r="H908" s="29"/>
      <c r="I908" s="29"/>
      <c r="J908" s="29"/>
      <c r="K908" s="29"/>
      <c r="L908" s="29"/>
      <c r="M908" s="29"/>
      <c r="N908" s="29"/>
    </row>
    <row r="909" ht="77.25" customHeight="1">
      <c r="A909" s="28"/>
      <c r="B909" s="29"/>
      <c r="C909" s="28"/>
      <c r="D909" s="29"/>
      <c r="G909" s="29"/>
      <c r="H909" s="29"/>
      <c r="I909" s="29"/>
      <c r="J909" s="29"/>
      <c r="K909" s="29"/>
      <c r="L909" s="29"/>
      <c r="M909" s="29"/>
      <c r="N909" s="29"/>
    </row>
    <row r="910" ht="77.25" customHeight="1">
      <c r="A910" s="28"/>
      <c r="B910" s="29"/>
      <c r="C910" s="28"/>
      <c r="D910" s="29"/>
      <c r="G910" s="29"/>
      <c r="H910" s="29"/>
      <c r="I910" s="29"/>
      <c r="J910" s="29"/>
      <c r="K910" s="29"/>
      <c r="L910" s="29"/>
      <c r="M910" s="29"/>
      <c r="N910" s="29"/>
    </row>
    <row r="911" ht="77.25" customHeight="1">
      <c r="A911" s="28"/>
      <c r="B911" s="29"/>
      <c r="C911" s="28"/>
      <c r="D911" s="29"/>
      <c r="G911" s="29"/>
      <c r="H911" s="29"/>
      <c r="I911" s="29"/>
      <c r="J911" s="29"/>
      <c r="K911" s="29"/>
      <c r="L911" s="29"/>
      <c r="M911" s="29"/>
      <c r="N911" s="29"/>
    </row>
    <row r="912" ht="77.25" customHeight="1">
      <c r="A912" s="28"/>
      <c r="B912" s="29"/>
      <c r="C912" s="28"/>
      <c r="D912" s="29"/>
      <c r="G912" s="29"/>
      <c r="H912" s="29"/>
      <c r="I912" s="29"/>
      <c r="J912" s="29"/>
      <c r="K912" s="29"/>
      <c r="L912" s="29"/>
      <c r="M912" s="29"/>
      <c r="N912" s="29"/>
    </row>
    <row r="913" ht="77.25" customHeight="1">
      <c r="A913" s="28"/>
      <c r="B913" s="29"/>
      <c r="C913" s="28"/>
      <c r="D913" s="29"/>
      <c r="G913" s="29"/>
      <c r="H913" s="29"/>
      <c r="I913" s="29"/>
      <c r="J913" s="29"/>
      <c r="K913" s="29"/>
      <c r="L913" s="29"/>
      <c r="M913" s="29"/>
      <c r="N913" s="29"/>
    </row>
    <row r="914" ht="77.25" customHeight="1">
      <c r="A914" s="28"/>
      <c r="B914" s="29"/>
      <c r="C914" s="28"/>
      <c r="D914" s="29"/>
      <c r="G914" s="29"/>
      <c r="H914" s="29"/>
      <c r="I914" s="29"/>
      <c r="J914" s="29"/>
      <c r="K914" s="29"/>
      <c r="L914" s="29"/>
      <c r="M914" s="29"/>
      <c r="N914" s="29"/>
    </row>
    <row r="915" ht="77.25" customHeight="1">
      <c r="A915" s="28"/>
      <c r="B915" s="29"/>
      <c r="C915" s="28"/>
      <c r="D915" s="29"/>
      <c r="G915" s="29"/>
      <c r="H915" s="29"/>
      <c r="I915" s="29"/>
      <c r="J915" s="29"/>
      <c r="K915" s="29"/>
      <c r="L915" s="29"/>
      <c r="M915" s="29"/>
      <c r="N915" s="29"/>
    </row>
    <row r="916" ht="77.25" customHeight="1">
      <c r="A916" s="28"/>
      <c r="B916" s="29"/>
      <c r="C916" s="28"/>
      <c r="D916" s="29"/>
      <c r="G916" s="29"/>
      <c r="H916" s="29"/>
      <c r="I916" s="29"/>
      <c r="J916" s="29"/>
      <c r="K916" s="29"/>
      <c r="L916" s="29"/>
      <c r="M916" s="29"/>
      <c r="N916" s="29"/>
    </row>
    <row r="917" ht="77.25" customHeight="1">
      <c r="A917" s="28"/>
      <c r="B917" s="29"/>
      <c r="C917" s="28"/>
      <c r="D917" s="29"/>
      <c r="G917" s="29"/>
      <c r="H917" s="29"/>
      <c r="I917" s="29"/>
      <c r="J917" s="29"/>
      <c r="K917" s="29"/>
      <c r="L917" s="29"/>
      <c r="M917" s="29"/>
      <c r="N917" s="29"/>
    </row>
    <row r="918" ht="77.25" customHeight="1">
      <c r="A918" s="28"/>
      <c r="B918" s="29"/>
      <c r="C918" s="28"/>
      <c r="D918" s="29"/>
      <c r="G918" s="29"/>
      <c r="H918" s="29"/>
      <c r="I918" s="29"/>
      <c r="J918" s="29"/>
      <c r="K918" s="29"/>
      <c r="L918" s="29"/>
      <c r="M918" s="29"/>
      <c r="N918" s="29"/>
    </row>
    <row r="919" ht="77.25" customHeight="1">
      <c r="A919" s="28"/>
      <c r="B919" s="29"/>
      <c r="C919" s="28"/>
      <c r="D919" s="29"/>
      <c r="G919" s="29"/>
      <c r="H919" s="29"/>
      <c r="I919" s="29"/>
      <c r="J919" s="29"/>
      <c r="K919" s="29"/>
      <c r="L919" s="29"/>
      <c r="M919" s="29"/>
      <c r="N919" s="29"/>
    </row>
    <row r="920" ht="77.25" customHeight="1">
      <c r="A920" s="28"/>
      <c r="B920" s="29"/>
      <c r="C920" s="28"/>
      <c r="D920" s="29"/>
      <c r="G920" s="29"/>
      <c r="H920" s="29"/>
      <c r="I920" s="29"/>
      <c r="J920" s="29"/>
      <c r="K920" s="29"/>
      <c r="L920" s="29"/>
      <c r="M920" s="29"/>
      <c r="N920" s="29"/>
    </row>
    <row r="921" ht="77.25" customHeight="1">
      <c r="A921" s="28"/>
      <c r="B921" s="29"/>
      <c r="C921" s="28"/>
      <c r="D921" s="29"/>
      <c r="G921" s="29"/>
      <c r="H921" s="29"/>
      <c r="I921" s="29"/>
      <c r="J921" s="29"/>
      <c r="K921" s="29"/>
      <c r="L921" s="29"/>
      <c r="M921" s="29"/>
      <c r="N921" s="29"/>
    </row>
    <row r="922" ht="77.25" customHeight="1">
      <c r="A922" s="28"/>
      <c r="B922" s="29"/>
      <c r="C922" s="28"/>
      <c r="D922" s="29"/>
      <c r="G922" s="29"/>
      <c r="H922" s="29"/>
      <c r="I922" s="29"/>
      <c r="J922" s="29"/>
      <c r="K922" s="29"/>
      <c r="L922" s="29"/>
      <c r="M922" s="29"/>
      <c r="N922" s="29"/>
    </row>
    <row r="923" ht="77.25" customHeight="1">
      <c r="A923" s="28"/>
      <c r="B923" s="29"/>
      <c r="C923" s="28"/>
      <c r="D923" s="29"/>
      <c r="G923" s="29"/>
      <c r="H923" s="29"/>
      <c r="I923" s="29"/>
      <c r="J923" s="29"/>
      <c r="K923" s="29"/>
      <c r="L923" s="29"/>
      <c r="M923" s="29"/>
      <c r="N923" s="29"/>
    </row>
    <row r="924" ht="77.25" customHeight="1">
      <c r="A924" s="28"/>
      <c r="B924" s="29"/>
      <c r="C924" s="28"/>
      <c r="D924" s="29"/>
      <c r="G924" s="29"/>
      <c r="H924" s="29"/>
      <c r="I924" s="29"/>
      <c r="J924" s="29"/>
      <c r="K924" s="29"/>
      <c r="L924" s="29"/>
      <c r="M924" s="29"/>
      <c r="N924" s="29"/>
    </row>
    <row r="925" ht="77.25" customHeight="1">
      <c r="A925" s="28"/>
      <c r="B925" s="29"/>
      <c r="C925" s="28"/>
      <c r="D925" s="29"/>
      <c r="G925" s="29"/>
      <c r="H925" s="29"/>
      <c r="I925" s="29"/>
      <c r="J925" s="29"/>
      <c r="K925" s="29"/>
      <c r="L925" s="29"/>
      <c r="M925" s="29"/>
      <c r="N925" s="29"/>
    </row>
    <row r="926" ht="77.25" customHeight="1">
      <c r="A926" s="28"/>
      <c r="B926" s="29"/>
      <c r="C926" s="28"/>
      <c r="D926" s="29"/>
      <c r="G926" s="29"/>
      <c r="H926" s="29"/>
      <c r="I926" s="29"/>
      <c r="J926" s="29"/>
      <c r="K926" s="29"/>
      <c r="L926" s="29"/>
      <c r="M926" s="29"/>
      <c r="N926" s="29"/>
    </row>
    <row r="927" ht="77.25" customHeight="1">
      <c r="A927" s="28"/>
      <c r="B927" s="29"/>
      <c r="C927" s="28"/>
      <c r="D927" s="29"/>
      <c r="G927" s="29"/>
      <c r="H927" s="29"/>
      <c r="I927" s="29"/>
      <c r="J927" s="29"/>
      <c r="K927" s="29"/>
      <c r="L927" s="29"/>
      <c r="M927" s="29"/>
      <c r="N927" s="29"/>
    </row>
    <row r="928" ht="77.25" customHeight="1">
      <c r="A928" s="28"/>
      <c r="B928" s="29"/>
      <c r="C928" s="28"/>
      <c r="D928" s="29"/>
      <c r="G928" s="29"/>
      <c r="H928" s="29"/>
      <c r="I928" s="29"/>
      <c r="J928" s="29"/>
      <c r="K928" s="29"/>
      <c r="L928" s="29"/>
      <c r="M928" s="29"/>
      <c r="N928" s="29"/>
    </row>
    <row r="929" ht="77.25" customHeight="1">
      <c r="A929" s="28"/>
      <c r="B929" s="29"/>
      <c r="C929" s="28"/>
      <c r="D929" s="29"/>
      <c r="G929" s="29"/>
      <c r="H929" s="29"/>
      <c r="I929" s="29"/>
      <c r="J929" s="29"/>
      <c r="K929" s="29"/>
      <c r="L929" s="29"/>
      <c r="M929" s="29"/>
      <c r="N929" s="29"/>
    </row>
    <row r="930" ht="77.25" customHeight="1">
      <c r="A930" s="28"/>
      <c r="B930" s="29"/>
      <c r="C930" s="28"/>
      <c r="D930" s="29"/>
      <c r="G930" s="29"/>
      <c r="H930" s="29"/>
      <c r="I930" s="29"/>
      <c r="J930" s="29"/>
      <c r="K930" s="29"/>
      <c r="L930" s="29"/>
      <c r="M930" s="29"/>
      <c r="N930" s="29"/>
    </row>
    <row r="931" ht="77.25" customHeight="1">
      <c r="A931" s="28"/>
      <c r="B931" s="29"/>
      <c r="C931" s="28"/>
      <c r="D931" s="29"/>
      <c r="G931" s="29"/>
      <c r="H931" s="29"/>
      <c r="I931" s="29"/>
      <c r="J931" s="29"/>
      <c r="K931" s="29"/>
      <c r="L931" s="29"/>
      <c r="M931" s="29"/>
      <c r="N931" s="29"/>
    </row>
    <row r="932" ht="77.25" customHeight="1">
      <c r="A932" s="28"/>
      <c r="B932" s="29"/>
      <c r="C932" s="28"/>
      <c r="D932" s="29"/>
      <c r="G932" s="29"/>
      <c r="H932" s="29"/>
      <c r="I932" s="29"/>
      <c r="J932" s="29"/>
      <c r="K932" s="29"/>
      <c r="L932" s="29"/>
      <c r="M932" s="29"/>
      <c r="N932" s="29"/>
    </row>
    <row r="933" ht="77.25" customHeight="1">
      <c r="A933" s="28"/>
      <c r="B933" s="29"/>
      <c r="C933" s="28"/>
      <c r="D933" s="29"/>
      <c r="G933" s="29"/>
      <c r="H933" s="29"/>
      <c r="I933" s="29"/>
      <c r="J933" s="29"/>
      <c r="K933" s="29"/>
      <c r="L933" s="29"/>
      <c r="M933" s="29"/>
      <c r="N933" s="29"/>
    </row>
    <row r="934" ht="77.25" customHeight="1">
      <c r="A934" s="28"/>
      <c r="B934" s="29"/>
      <c r="C934" s="28"/>
      <c r="D934" s="29"/>
      <c r="G934" s="29"/>
      <c r="H934" s="29"/>
      <c r="I934" s="29"/>
      <c r="J934" s="29"/>
      <c r="K934" s="29"/>
      <c r="L934" s="29"/>
      <c r="M934" s="29"/>
      <c r="N934" s="29"/>
    </row>
    <row r="935" ht="77.25" customHeight="1">
      <c r="A935" s="28"/>
      <c r="B935" s="29"/>
      <c r="C935" s="28"/>
      <c r="D935" s="29"/>
      <c r="G935" s="29"/>
      <c r="H935" s="29"/>
      <c r="I935" s="29"/>
      <c r="J935" s="29"/>
      <c r="K935" s="29"/>
      <c r="L935" s="29"/>
      <c r="M935" s="29"/>
      <c r="N935" s="29"/>
    </row>
    <row r="936" ht="77.25" customHeight="1">
      <c r="A936" s="28"/>
      <c r="B936" s="29"/>
      <c r="C936" s="28"/>
      <c r="D936" s="29"/>
      <c r="G936" s="29"/>
      <c r="H936" s="29"/>
      <c r="I936" s="29"/>
      <c r="J936" s="29"/>
      <c r="K936" s="29"/>
      <c r="L936" s="29"/>
      <c r="M936" s="29"/>
      <c r="N936" s="29"/>
    </row>
    <row r="937" ht="77.25" customHeight="1">
      <c r="A937" s="28"/>
      <c r="B937" s="29"/>
      <c r="C937" s="28"/>
      <c r="D937" s="29"/>
      <c r="G937" s="29"/>
      <c r="H937" s="29"/>
      <c r="I937" s="29"/>
      <c r="J937" s="29"/>
      <c r="K937" s="29"/>
      <c r="L937" s="29"/>
      <c r="M937" s="29"/>
      <c r="N937" s="29"/>
    </row>
    <row r="938" ht="77.25" customHeight="1">
      <c r="A938" s="28"/>
      <c r="B938" s="29"/>
      <c r="C938" s="28"/>
      <c r="D938" s="29"/>
      <c r="G938" s="29"/>
      <c r="H938" s="29"/>
      <c r="I938" s="29"/>
      <c r="J938" s="29"/>
      <c r="K938" s="29"/>
      <c r="L938" s="29"/>
      <c r="M938" s="29"/>
      <c r="N938" s="29"/>
    </row>
    <row r="939" ht="77.25" customHeight="1">
      <c r="A939" s="28"/>
      <c r="B939" s="29"/>
      <c r="C939" s="28"/>
      <c r="D939" s="29"/>
      <c r="G939" s="29"/>
      <c r="H939" s="29"/>
      <c r="I939" s="29"/>
      <c r="J939" s="29"/>
      <c r="K939" s="29"/>
      <c r="L939" s="29"/>
      <c r="M939" s="29"/>
      <c r="N939" s="29"/>
    </row>
    <row r="940" ht="77.25" customHeight="1">
      <c r="A940" s="28"/>
      <c r="B940" s="29"/>
      <c r="C940" s="28"/>
      <c r="D940" s="29"/>
      <c r="G940" s="29"/>
      <c r="H940" s="29"/>
      <c r="I940" s="29"/>
      <c r="J940" s="29"/>
      <c r="K940" s="29"/>
      <c r="L940" s="29"/>
      <c r="M940" s="29"/>
      <c r="N940" s="29"/>
    </row>
    <row r="941" ht="77.25" customHeight="1">
      <c r="A941" s="28"/>
      <c r="B941" s="29"/>
      <c r="C941" s="28"/>
      <c r="D941" s="29"/>
      <c r="G941" s="29"/>
      <c r="H941" s="29"/>
      <c r="I941" s="29"/>
      <c r="J941" s="29"/>
      <c r="K941" s="29"/>
      <c r="L941" s="29"/>
      <c r="M941" s="29"/>
      <c r="N941" s="29"/>
    </row>
    <row r="942" ht="77.25" customHeight="1">
      <c r="A942" s="28"/>
      <c r="B942" s="29"/>
      <c r="C942" s="28"/>
      <c r="D942" s="29"/>
      <c r="G942" s="29"/>
      <c r="H942" s="29"/>
      <c r="I942" s="29"/>
      <c r="J942" s="29"/>
      <c r="K942" s="29"/>
      <c r="L942" s="29"/>
      <c r="M942" s="29"/>
      <c r="N942" s="29"/>
    </row>
    <row r="943" ht="77.25" customHeight="1">
      <c r="A943" s="28"/>
      <c r="B943" s="29"/>
      <c r="C943" s="28"/>
      <c r="D943" s="29"/>
      <c r="G943" s="29"/>
      <c r="H943" s="29"/>
      <c r="I943" s="29"/>
      <c r="J943" s="29"/>
      <c r="K943" s="29"/>
      <c r="L943" s="29"/>
      <c r="M943" s="29"/>
      <c r="N943" s="29"/>
    </row>
    <row r="944" ht="77.25" customHeight="1">
      <c r="A944" s="28"/>
      <c r="B944" s="29"/>
      <c r="C944" s="28"/>
      <c r="D944" s="29"/>
      <c r="G944" s="29"/>
      <c r="H944" s="29"/>
      <c r="I944" s="29"/>
      <c r="J944" s="29"/>
      <c r="K944" s="29"/>
      <c r="L944" s="29"/>
      <c r="M944" s="29"/>
      <c r="N944" s="29"/>
    </row>
    <row r="945" ht="77.25" customHeight="1">
      <c r="A945" s="28"/>
      <c r="B945" s="29"/>
      <c r="C945" s="28"/>
      <c r="D945" s="29"/>
      <c r="G945" s="29"/>
      <c r="H945" s="29"/>
      <c r="I945" s="29"/>
      <c r="J945" s="29"/>
      <c r="K945" s="29"/>
      <c r="L945" s="29"/>
      <c r="M945" s="29"/>
      <c r="N945" s="29"/>
    </row>
    <row r="946" ht="77.25" customHeight="1">
      <c r="A946" s="28"/>
      <c r="B946" s="29"/>
      <c r="C946" s="28"/>
      <c r="D946" s="29"/>
      <c r="G946" s="29"/>
      <c r="H946" s="29"/>
      <c r="I946" s="29"/>
      <c r="J946" s="29"/>
      <c r="K946" s="29"/>
      <c r="L946" s="29"/>
      <c r="M946" s="29"/>
      <c r="N946" s="29"/>
    </row>
    <row r="947" ht="77.25" customHeight="1">
      <c r="A947" s="28"/>
      <c r="B947" s="29"/>
      <c r="C947" s="28"/>
      <c r="D947" s="29"/>
      <c r="G947" s="29"/>
      <c r="H947" s="29"/>
      <c r="I947" s="29"/>
      <c r="J947" s="29"/>
      <c r="K947" s="29"/>
      <c r="L947" s="29"/>
      <c r="M947" s="29"/>
      <c r="N947" s="29"/>
    </row>
    <row r="948" ht="77.25" customHeight="1">
      <c r="A948" s="28"/>
      <c r="B948" s="29"/>
      <c r="C948" s="28"/>
      <c r="D948" s="29"/>
      <c r="G948" s="29"/>
      <c r="H948" s="29"/>
      <c r="I948" s="29"/>
      <c r="J948" s="29"/>
      <c r="K948" s="29"/>
      <c r="L948" s="29"/>
      <c r="M948" s="29"/>
      <c r="N948" s="29"/>
    </row>
    <row r="949" ht="77.25" customHeight="1">
      <c r="A949" s="28"/>
      <c r="B949" s="29"/>
      <c r="C949" s="28"/>
      <c r="D949" s="29"/>
      <c r="G949" s="29"/>
      <c r="H949" s="29"/>
      <c r="I949" s="29"/>
      <c r="J949" s="29"/>
      <c r="K949" s="29"/>
      <c r="L949" s="29"/>
      <c r="M949" s="29"/>
      <c r="N949" s="29"/>
    </row>
    <row r="950" ht="77.25" customHeight="1">
      <c r="A950" s="28"/>
      <c r="B950" s="29"/>
      <c r="C950" s="28"/>
      <c r="D950" s="29"/>
      <c r="G950" s="29"/>
      <c r="H950" s="29"/>
      <c r="I950" s="29"/>
      <c r="J950" s="29"/>
      <c r="K950" s="29"/>
      <c r="L950" s="29"/>
      <c r="M950" s="29"/>
      <c r="N950" s="29"/>
    </row>
    <row r="951" ht="77.25" customHeight="1">
      <c r="A951" s="28"/>
      <c r="B951" s="29"/>
      <c r="C951" s="28"/>
      <c r="D951" s="29"/>
      <c r="G951" s="29"/>
      <c r="H951" s="29"/>
      <c r="I951" s="29"/>
      <c r="J951" s="29"/>
      <c r="K951" s="29"/>
      <c r="L951" s="29"/>
      <c r="M951" s="29"/>
      <c r="N951" s="29"/>
    </row>
    <row r="952" ht="77.25" customHeight="1">
      <c r="A952" s="28"/>
      <c r="B952" s="29"/>
      <c r="C952" s="28"/>
      <c r="D952" s="29"/>
      <c r="G952" s="29"/>
      <c r="H952" s="29"/>
      <c r="I952" s="29"/>
      <c r="J952" s="29"/>
      <c r="K952" s="29"/>
      <c r="L952" s="29"/>
      <c r="M952" s="29"/>
      <c r="N952" s="29"/>
    </row>
    <row r="953" ht="77.25" customHeight="1">
      <c r="A953" s="28"/>
      <c r="B953" s="29"/>
      <c r="C953" s="28"/>
      <c r="D953" s="29"/>
      <c r="G953" s="29"/>
      <c r="H953" s="29"/>
      <c r="I953" s="29"/>
      <c r="J953" s="29"/>
      <c r="K953" s="29"/>
      <c r="L953" s="29"/>
      <c r="M953" s="29"/>
      <c r="N953" s="29"/>
    </row>
    <row r="954" ht="77.25" customHeight="1">
      <c r="A954" s="28"/>
      <c r="B954" s="29"/>
      <c r="C954" s="28"/>
      <c r="D954" s="29"/>
      <c r="G954" s="29"/>
      <c r="H954" s="29"/>
      <c r="I954" s="29"/>
      <c r="J954" s="29"/>
      <c r="K954" s="29"/>
      <c r="L954" s="29"/>
      <c r="M954" s="29"/>
      <c r="N954" s="29"/>
    </row>
    <row r="955" ht="77.25" customHeight="1">
      <c r="A955" s="28"/>
      <c r="B955" s="29"/>
      <c r="C955" s="28"/>
      <c r="D955" s="29"/>
      <c r="G955" s="29"/>
      <c r="H955" s="29"/>
      <c r="I955" s="29"/>
      <c r="J955" s="29"/>
      <c r="K955" s="29"/>
      <c r="L955" s="29"/>
      <c r="M955" s="29"/>
      <c r="N955" s="29"/>
    </row>
    <row r="956" ht="77.25" customHeight="1">
      <c r="A956" s="28"/>
      <c r="B956" s="29"/>
      <c r="C956" s="28"/>
      <c r="D956" s="29"/>
      <c r="G956" s="29"/>
      <c r="H956" s="29"/>
      <c r="I956" s="29"/>
      <c r="J956" s="29"/>
      <c r="K956" s="29"/>
      <c r="L956" s="29"/>
      <c r="M956" s="29"/>
      <c r="N956" s="29"/>
    </row>
    <row r="957" ht="77.25" customHeight="1">
      <c r="A957" s="28"/>
      <c r="B957" s="29"/>
      <c r="C957" s="28"/>
      <c r="D957" s="29"/>
      <c r="G957" s="29"/>
      <c r="H957" s="29"/>
      <c r="I957" s="29"/>
      <c r="J957" s="29"/>
      <c r="K957" s="29"/>
      <c r="L957" s="29"/>
      <c r="M957" s="29"/>
      <c r="N957" s="29"/>
    </row>
    <row r="958" ht="77.25" customHeight="1">
      <c r="A958" s="28"/>
      <c r="B958" s="29"/>
      <c r="C958" s="28"/>
      <c r="D958" s="29"/>
      <c r="G958" s="29"/>
      <c r="H958" s="29"/>
      <c r="I958" s="29"/>
      <c r="J958" s="29"/>
      <c r="K958" s="29"/>
      <c r="L958" s="29"/>
      <c r="M958" s="29"/>
      <c r="N958" s="29"/>
    </row>
    <row r="959" ht="77.25" customHeight="1">
      <c r="A959" s="28"/>
      <c r="B959" s="29"/>
      <c r="C959" s="28"/>
      <c r="D959" s="29"/>
      <c r="G959" s="29"/>
      <c r="H959" s="29"/>
      <c r="I959" s="29"/>
      <c r="J959" s="29"/>
      <c r="K959" s="29"/>
      <c r="L959" s="29"/>
      <c r="M959" s="29"/>
      <c r="N959" s="29"/>
    </row>
    <row r="960" ht="77.25" customHeight="1">
      <c r="A960" s="28"/>
      <c r="B960" s="29"/>
      <c r="C960" s="28"/>
      <c r="D960" s="29"/>
      <c r="G960" s="29"/>
      <c r="H960" s="29"/>
      <c r="I960" s="29"/>
      <c r="J960" s="29"/>
      <c r="K960" s="29"/>
      <c r="L960" s="29"/>
      <c r="M960" s="29"/>
      <c r="N960" s="29"/>
    </row>
    <row r="961" ht="77.25" customHeight="1">
      <c r="A961" s="28"/>
      <c r="B961" s="29"/>
      <c r="C961" s="28"/>
      <c r="D961" s="29"/>
      <c r="G961" s="29"/>
      <c r="H961" s="29"/>
      <c r="I961" s="29"/>
      <c r="J961" s="29"/>
      <c r="K961" s="29"/>
      <c r="L961" s="29"/>
      <c r="M961" s="29"/>
      <c r="N961" s="29"/>
    </row>
    <row r="962" ht="77.25" customHeight="1">
      <c r="A962" s="28"/>
      <c r="B962" s="29"/>
      <c r="C962" s="28"/>
      <c r="D962" s="29"/>
      <c r="G962" s="29"/>
      <c r="H962" s="29"/>
      <c r="I962" s="29"/>
      <c r="J962" s="29"/>
      <c r="K962" s="29"/>
      <c r="L962" s="29"/>
      <c r="M962" s="29"/>
      <c r="N962" s="29"/>
    </row>
    <row r="963" ht="77.25" customHeight="1">
      <c r="A963" s="28"/>
      <c r="B963" s="29"/>
      <c r="C963" s="28"/>
      <c r="D963" s="29"/>
      <c r="G963" s="29"/>
      <c r="H963" s="29"/>
      <c r="I963" s="29"/>
      <c r="J963" s="29"/>
      <c r="K963" s="29"/>
      <c r="L963" s="29"/>
      <c r="M963" s="29"/>
      <c r="N963" s="29"/>
    </row>
    <row r="964" ht="77.25" customHeight="1">
      <c r="A964" s="28"/>
      <c r="B964" s="29"/>
      <c r="C964" s="28"/>
      <c r="D964" s="29"/>
      <c r="G964" s="29"/>
      <c r="H964" s="29"/>
      <c r="I964" s="29"/>
      <c r="J964" s="29"/>
      <c r="K964" s="29"/>
      <c r="L964" s="29"/>
      <c r="M964" s="29"/>
      <c r="N964" s="29"/>
    </row>
    <row r="965" ht="77.25" customHeight="1">
      <c r="A965" s="28"/>
      <c r="B965" s="29"/>
      <c r="C965" s="28"/>
      <c r="D965" s="29"/>
      <c r="G965" s="29"/>
      <c r="H965" s="29"/>
      <c r="I965" s="29"/>
      <c r="J965" s="29"/>
      <c r="K965" s="29"/>
      <c r="L965" s="29"/>
      <c r="M965" s="29"/>
      <c r="N965" s="29"/>
    </row>
    <row r="966" ht="77.25" customHeight="1">
      <c r="A966" s="28"/>
      <c r="B966" s="29"/>
      <c r="C966" s="28"/>
      <c r="D966" s="29"/>
      <c r="G966" s="29"/>
      <c r="H966" s="29"/>
      <c r="I966" s="29"/>
      <c r="J966" s="29"/>
      <c r="K966" s="29"/>
      <c r="L966" s="29"/>
      <c r="M966" s="29"/>
      <c r="N966" s="29"/>
    </row>
    <row r="967" ht="77.25" customHeight="1">
      <c r="A967" s="28"/>
      <c r="B967" s="29"/>
      <c r="C967" s="28"/>
      <c r="D967" s="29"/>
      <c r="G967" s="29"/>
      <c r="H967" s="29"/>
      <c r="I967" s="29"/>
      <c r="J967" s="29"/>
      <c r="K967" s="29"/>
      <c r="L967" s="29"/>
      <c r="M967" s="29"/>
      <c r="N967" s="29"/>
    </row>
    <row r="968" ht="77.25" customHeight="1">
      <c r="A968" s="28"/>
      <c r="B968" s="29"/>
      <c r="C968" s="28"/>
      <c r="D968" s="29"/>
      <c r="G968" s="29"/>
      <c r="H968" s="29"/>
      <c r="I968" s="29"/>
      <c r="J968" s="29"/>
      <c r="K968" s="29"/>
      <c r="L968" s="29"/>
      <c r="M968" s="29"/>
      <c r="N968" s="29"/>
    </row>
    <row r="969" ht="77.25" customHeight="1">
      <c r="A969" s="28"/>
      <c r="B969" s="29"/>
      <c r="C969" s="28"/>
      <c r="D969" s="29"/>
      <c r="G969" s="29"/>
      <c r="H969" s="29"/>
      <c r="I969" s="29"/>
      <c r="J969" s="29"/>
      <c r="K969" s="29"/>
      <c r="L969" s="29"/>
      <c r="M969" s="29"/>
      <c r="N969" s="29"/>
    </row>
    <row r="970" ht="77.25" customHeight="1">
      <c r="A970" s="28"/>
      <c r="B970" s="29"/>
      <c r="C970" s="28"/>
      <c r="D970" s="29"/>
      <c r="G970" s="29"/>
      <c r="H970" s="29"/>
      <c r="I970" s="29"/>
      <c r="J970" s="29"/>
      <c r="K970" s="29"/>
      <c r="L970" s="29"/>
      <c r="M970" s="29"/>
      <c r="N970" s="29"/>
    </row>
    <row r="971" ht="77.25" customHeight="1">
      <c r="A971" s="28"/>
      <c r="B971" s="29"/>
      <c r="C971" s="28"/>
      <c r="D971" s="29"/>
      <c r="G971" s="29"/>
      <c r="H971" s="29"/>
      <c r="I971" s="29"/>
      <c r="J971" s="29"/>
      <c r="K971" s="29"/>
      <c r="L971" s="29"/>
      <c r="M971" s="29"/>
      <c r="N971" s="29"/>
    </row>
    <row r="972" ht="77.25" customHeight="1">
      <c r="A972" s="28"/>
      <c r="B972" s="29"/>
      <c r="C972" s="28"/>
      <c r="D972" s="29"/>
      <c r="G972" s="29"/>
      <c r="H972" s="29"/>
      <c r="I972" s="29"/>
      <c r="J972" s="29"/>
      <c r="K972" s="29"/>
      <c r="L972" s="29"/>
      <c r="M972" s="29"/>
      <c r="N972" s="29"/>
    </row>
    <row r="973" ht="77.25" customHeight="1">
      <c r="A973" s="28"/>
      <c r="B973" s="29"/>
      <c r="C973" s="28"/>
      <c r="D973" s="29"/>
      <c r="G973" s="29"/>
      <c r="H973" s="29"/>
      <c r="I973" s="29"/>
      <c r="J973" s="29"/>
      <c r="K973" s="29"/>
      <c r="L973" s="29"/>
      <c r="M973" s="29"/>
      <c r="N973" s="29"/>
    </row>
    <row r="974" ht="77.25" customHeight="1">
      <c r="A974" s="28"/>
      <c r="B974" s="29"/>
      <c r="C974" s="28"/>
      <c r="D974" s="29"/>
      <c r="G974" s="29"/>
      <c r="H974" s="29"/>
      <c r="I974" s="29"/>
      <c r="J974" s="29"/>
      <c r="K974" s="29"/>
      <c r="L974" s="29"/>
      <c r="M974" s="29"/>
      <c r="N974" s="29"/>
    </row>
    <row r="975" ht="77.25" customHeight="1">
      <c r="A975" s="28"/>
      <c r="B975" s="29"/>
      <c r="C975" s="28"/>
      <c r="D975" s="29"/>
      <c r="G975" s="29"/>
      <c r="H975" s="29"/>
      <c r="I975" s="29"/>
      <c r="J975" s="29"/>
      <c r="K975" s="29"/>
      <c r="L975" s="29"/>
      <c r="M975" s="29"/>
      <c r="N975" s="29"/>
    </row>
    <row r="976" ht="77.25" customHeight="1">
      <c r="A976" s="28"/>
      <c r="B976" s="29"/>
      <c r="C976" s="28"/>
      <c r="D976" s="29"/>
      <c r="G976" s="29"/>
      <c r="H976" s="29"/>
      <c r="I976" s="29"/>
      <c r="J976" s="29"/>
      <c r="K976" s="29"/>
      <c r="L976" s="29"/>
      <c r="M976" s="29"/>
      <c r="N976" s="29"/>
    </row>
    <row r="977" ht="77.25" customHeight="1">
      <c r="A977" s="28"/>
      <c r="B977" s="29"/>
      <c r="C977" s="28"/>
      <c r="D977" s="29"/>
      <c r="G977" s="29"/>
      <c r="H977" s="29"/>
      <c r="I977" s="29"/>
      <c r="J977" s="29"/>
      <c r="K977" s="29"/>
      <c r="L977" s="29"/>
      <c r="M977" s="29"/>
      <c r="N977" s="29"/>
    </row>
    <row r="978" ht="77.25" customHeight="1">
      <c r="A978" s="28"/>
      <c r="B978" s="29"/>
      <c r="C978" s="28"/>
      <c r="D978" s="29"/>
      <c r="G978" s="29"/>
      <c r="H978" s="29"/>
      <c r="I978" s="29"/>
      <c r="J978" s="29"/>
      <c r="K978" s="29"/>
      <c r="L978" s="29"/>
      <c r="M978" s="29"/>
      <c r="N978" s="29"/>
    </row>
    <row r="979" ht="77.25" customHeight="1">
      <c r="A979" s="28"/>
      <c r="B979" s="29"/>
      <c r="C979" s="28"/>
      <c r="D979" s="29"/>
      <c r="G979" s="29"/>
      <c r="H979" s="29"/>
      <c r="I979" s="29"/>
      <c r="J979" s="29"/>
      <c r="K979" s="29"/>
      <c r="L979" s="29"/>
      <c r="M979" s="29"/>
      <c r="N979" s="29"/>
    </row>
    <row r="980" ht="77.25" customHeight="1">
      <c r="A980" s="28"/>
      <c r="B980" s="29"/>
      <c r="C980" s="28"/>
      <c r="D980" s="29"/>
      <c r="G980" s="29"/>
      <c r="H980" s="29"/>
      <c r="I980" s="29"/>
      <c r="J980" s="29"/>
      <c r="K980" s="29"/>
      <c r="L980" s="29"/>
      <c r="M980" s="29"/>
      <c r="N980" s="29"/>
    </row>
    <row r="981" ht="77.25" customHeight="1">
      <c r="A981" s="28"/>
      <c r="B981" s="29"/>
      <c r="C981" s="28"/>
      <c r="D981" s="29"/>
      <c r="G981" s="29"/>
      <c r="H981" s="29"/>
      <c r="I981" s="29"/>
      <c r="J981" s="29"/>
      <c r="K981" s="29"/>
      <c r="L981" s="29"/>
      <c r="M981" s="29"/>
      <c r="N981" s="29"/>
    </row>
    <row r="982" ht="77.25" customHeight="1">
      <c r="A982" s="28"/>
      <c r="B982" s="29"/>
      <c r="C982" s="28"/>
      <c r="D982" s="29"/>
      <c r="G982" s="29"/>
      <c r="H982" s="29"/>
      <c r="I982" s="29"/>
      <c r="J982" s="29"/>
      <c r="K982" s="29"/>
      <c r="L982" s="29"/>
      <c r="M982" s="29"/>
      <c r="N982" s="29"/>
    </row>
    <row r="983" ht="77.25" customHeight="1">
      <c r="A983" s="28"/>
      <c r="B983" s="29"/>
      <c r="C983" s="28"/>
      <c r="D983" s="29"/>
      <c r="G983" s="29"/>
      <c r="H983" s="29"/>
      <c r="I983" s="29"/>
      <c r="J983" s="29"/>
      <c r="K983" s="29"/>
      <c r="L983" s="29"/>
      <c r="M983" s="29"/>
      <c r="N983" s="29"/>
    </row>
    <row r="984" ht="77.25" customHeight="1">
      <c r="A984" s="28"/>
      <c r="B984" s="29"/>
      <c r="C984" s="28"/>
      <c r="D984" s="29"/>
      <c r="G984" s="29"/>
      <c r="H984" s="29"/>
      <c r="I984" s="29"/>
      <c r="J984" s="29"/>
      <c r="K984" s="29"/>
      <c r="L984" s="29"/>
      <c r="M984" s="29"/>
      <c r="N984" s="29"/>
    </row>
    <row r="985" ht="77.25" customHeight="1">
      <c r="A985" s="28"/>
      <c r="B985" s="29"/>
      <c r="C985" s="28"/>
      <c r="D985" s="29"/>
      <c r="G985" s="29"/>
      <c r="H985" s="29"/>
      <c r="I985" s="29"/>
      <c r="J985" s="29"/>
      <c r="K985" s="29"/>
      <c r="L985" s="29"/>
      <c r="M985" s="29"/>
      <c r="N985" s="29"/>
    </row>
    <row r="986" ht="77.25" customHeight="1">
      <c r="A986" s="28"/>
      <c r="B986" s="29"/>
      <c r="C986" s="28"/>
      <c r="D986" s="29"/>
      <c r="G986" s="29"/>
      <c r="H986" s="29"/>
      <c r="I986" s="29"/>
      <c r="J986" s="29"/>
      <c r="K986" s="29"/>
      <c r="L986" s="29"/>
      <c r="M986" s="29"/>
      <c r="N986" s="29"/>
    </row>
    <row r="987" ht="77.25" customHeight="1">
      <c r="A987" s="28"/>
      <c r="B987" s="29"/>
      <c r="C987" s="28"/>
      <c r="D987" s="29"/>
      <c r="G987" s="29"/>
      <c r="H987" s="29"/>
      <c r="I987" s="29"/>
      <c r="J987" s="29"/>
      <c r="K987" s="29"/>
      <c r="L987" s="29"/>
      <c r="M987" s="29"/>
      <c r="N987" s="29"/>
    </row>
    <row r="988" ht="77.25" customHeight="1">
      <c r="A988" s="28"/>
      <c r="B988" s="29"/>
      <c r="C988" s="28"/>
      <c r="D988" s="29"/>
      <c r="G988" s="29"/>
      <c r="H988" s="29"/>
      <c r="I988" s="29"/>
      <c r="J988" s="29"/>
      <c r="K988" s="29"/>
      <c r="L988" s="29"/>
      <c r="M988" s="29"/>
      <c r="N988" s="29"/>
    </row>
    <row r="989" ht="77.25" customHeight="1">
      <c r="A989" s="28"/>
      <c r="B989" s="29"/>
      <c r="C989" s="28"/>
      <c r="D989" s="29"/>
      <c r="G989" s="29"/>
      <c r="H989" s="29"/>
      <c r="I989" s="29"/>
      <c r="J989" s="29"/>
      <c r="K989" s="29"/>
      <c r="L989" s="29"/>
      <c r="M989" s="29"/>
      <c r="N989" s="29"/>
    </row>
    <row r="990" ht="77.25" customHeight="1">
      <c r="A990" s="28"/>
      <c r="B990" s="29"/>
      <c r="C990" s="28"/>
      <c r="D990" s="29"/>
      <c r="G990" s="29"/>
      <c r="H990" s="29"/>
      <c r="I990" s="29"/>
      <c r="J990" s="29"/>
      <c r="K990" s="29"/>
      <c r="L990" s="29"/>
      <c r="M990" s="29"/>
      <c r="N990" s="29"/>
    </row>
    <row r="991" ht="77.25" customHeight="1">
      <c r="A991" s="28"/>
      <c r="B991" s="29"/>
      <c r="C991" s="28"/>
      <c r="D991" s="29"/>
      <c r="G991" s="29"/>
      <c r="H991" s="29"/>
      <c r="I991" s="29"/>
      <c r="J991" s="29"/>
      <c r="K991" s="29"/>
      <c r="L991" s="29"/>
      <c r="M991" s="29"/>
      <c r="N991" s="29"/>
    </row>
    <row r="992" ht="77.25" customHeight="1">
      <c r="A992" s="28"/>
      <c r="B992" s="29"/>
      <c r="C992" s="28"/>
      <c r="D992" s="29"/>
      <c r="G992" s="29"/>
      <c r="H992" s="29"/>
      <c r="I992" s="29"/>
      <c r="J992" s="29"/>
      <c r="K992" s="29"/>
      <c r="L992" s="29"/>
      <c r="M992" s="29"/>
      <c r="N992" s="29"/>
    </row>
    <row r="993" ht="77.25" customHeight="1">
      <c r="A993" s="28"/>
      <c r="B993" s="29"/>
      <c r="C993" s="28"/>
      <c r="D993" s="29"/>
      <c r="G993" s="29"/>
      <c r="H993" s="29"/>
      <c r="I993" s="29"/>
      <c r="J993" s="29"/>
      <c r="K993" s="29"/>
      <c r="L993" s="29"/>
      <c r="M993" s="29"/>
      <c r="N993" s="29"/>
    </row>
    <row r="994" ht="77.25" customHeight="1">
      <c r="A994" s="28"/>
      <c r="B994" s="29"/>
      <c r="C994" s="28"/>
      <c r="D994" s="29"/>
      <c r="G994" s="29"/>
      <c r="H994" s="29"/>
      <c r="I994" s="29"/>
      <c r="J994" s="29"/>
      <c r="K994" s="29"/>
      <c r="L994" s="29"/>
      <c r="M994" s="29"/>
      <c r="N994" s="29"/>
    </row>
    <row r="995" ht="77.25" customHeight="1">
      <c r="A995" s="28"/>
      <c r="B995" s="29"/>
      <c r="C995" s="28"/>
      <c r="D995" s="29"/>
      <c r="G995" s="29"/>
      <c r="H995" s="29"/>
      <c r="I995" s="29"/>
      <c r="J995" s="29"/>
      <c r="K995" s="29"/>
      <c r="L995" s="29"/>
      <c r="M995" s="29"/>
      <c r="N995" s="29"/>
    </row>
    <row r="996" ht="77.25" customHeight="1">
      <c r="A996" s="28"/>
      <c r="B996" s="29"/>
      <c r="C996" s="28"/>
      <c r="D996" s="29"/>
      <c r="G996" s="29"/>
      <c r="H996" s="29"/>
      <c r="I996" s="29"/>
      <c r="J996" s="29"/>
      <c r="K996" s="29"/>
      <c r="L996" s="29"/>
      <c r="M996" s="29"/>
      <c r="N996" s="29"/>
    </row>
    <row r="997" ht="77.25" customHeight="1">
      <c r="A997" s="28"/>
      <c r="B997" s="29"/>
      <c r="C997" s="28"/>
      <c r="D997" s="29"/>
      <c r="G997" s="29"/>
      <c r="H997" s="29"/>
      <c r="I997" s="29"/>
      <c r="J997" s="29"/>
      <c r="K997" s="29"/>
      <c r="L997" s="29"/>
      <c r="M997" s="29"/>
      <c r="N997" s="29"/>
    </row>
    <row r="998" ht="77.25" customHeight="1">
      <c r="A998" s="28"/>
      <c r="B998" s="29"/>
      <c r="C998" s="28"/>
      <c r="D998" s="29"/>
      <c r="G998" s="29"/>
      <c r="H998" s="29"/>
      <c r="I998" s="29"/>
      <c r="J998" s="29"/>
      <c r="K998" s="29"/>
      <c r="L998" s="29"/>
      <c r="M998" s="29"/>
      <c r="N998" s="29"/>
    </row>
    <row r="999" ht="77.25" customHeight="1">
      <c r="A999" s="28"/>
      <c r="B999" s="29"/>
      <c r="C999" s="28"/>
      <c r="D999" s="29"/>
      <c r="G999" s="29"/>
      <c r="H999" s="29"/>
      <c r="I999" s="29"/>
      <c r="J999" s="29"/>
      <c r="K999" s="29"/>
      <c r="L999" s="29"/>
      <c r="M999" s="29"/>
      <c r="N999" s="29"/>
    </row>
    <row r="1000" ht="77.25" customHeight="1">
      <c r="A1000" s="28"/>
      <c r="B1000" s="29"/>
      <c r="C1000" s="28"/>
      <c r="D1000" s="29"/>
      <c r="G1000" s="29"/>
      <c r="H1000" s="29"/>
      <c r="I1000" s="29"/>
      <c r="J1000" s="29"/>
      <c r="K1000" s="29"/>
      <c r="L1000" s="29"/>
      <c r="M1000" s="29"/>
      <c r="N1000" s="29"/>
    </row>
    <row r="1001" ht="77.25" customHeight="1">
      <c r="A1001" s="28"/>
      <c r="B1001" s="29"/>
      <c r="C1001" s="28"/>
      <c r="D1001" s="29"/>
      <c r="G1001" s="29"/>
      <c r="H1001" s="29"/>
      <c r="I1001" s="29"/>
      <c r="J1001" s="29"/>
      <c r="K1001" s="29"/>
      <c r="L1001" s="29"/>
      <c r="M1001" s="29"/>
      <c r="N1001" s="29"/>
    </row>
    <row r="1002" ht="77.25" customHeight="1">
      <c r="A1002" s="28"/>
      <c r="B1002" s="29"/>
      <c r="C1002" s="28"/>
      <c r="D1002" s="29"/>
      <c r="G1002" s="29"/>
      <c r="H1002" s="29"/>
      <c r="I1002" s="29"/>
      <c r="J1002" s="29"/>
      <c r="K1002" s="29"/>
      <c r="L1002" s="29"/>
      <c r="M1002" s="29"/>
      <c r="N1002" s="29"/>
    </row>
    <row r="1003" ht="77.25" customHeight="1">
      <c r="A1003" s="28"/>
      <c r="B1003" s="29"/>
      <c r="C1003" s="28"/>
      <c r="D1003" s="29"/>
      <c r="G1003" s="29"/>
      <c r="H1003" s="29"/>
      <c r="I1003" s="29"/>
      <c r="J1003" s="29"/>
      <c r="K1003" s="29"/>
      <c r="L1003" s="29"/>
      <c r="M1003" s="29"/>
      <c r="N1003" s="29"/>
    </row>
    <row r="1004" ht="77.25" customHeight="1">
      <c r="A1004" s="28"/>
      <c r="B1004" s="29"/>
      <c r="C1004" s="28"/>
      <c r="D1004" s="29"/>
      <c r="G1004" s="29"/>
      <c r="H1004" s="29"/>
      <c r="I1004" s="29"/>
      <c r="J1004" s="29"/>
      <c r="K1004" s="29"/>
      <c r="L1004" s="29"/>
      <c r="M1004" s="29"/>
      <c r="N1004" s="29"/>
    </row>
    <row r="1005" ht="77.25" customHeight="1">
      <c r="A1005" s="28"/>
      <c r="B1005" s="29"/>
      <c r="C1005" s="28"/>
      <c r="D1005" s="29"/>
      <c r="G1005" s="29"/>
      <c r="H1005" s="29"/>
      <c r="I1005" s="29"/>
      <c r="J1005" s="29"/>
      <c r="K1005" s="29"/>
      <c r="L1005" s="29"/>
      <c r="M1005" s="29"/>
      <c r="N1005" s="29"/>
    </row>
    <row r="1006" ht="77.25" customHeight="1">
      <c r="A1006" s="28"/>
      <c r="B1006" s="29"/>
      <c r="C1006" s="28"/>
      <c r="D1006" s="29"/>
      <c r="G1006" s="29"/>
      <c r="H1006" s="29"/>
      <c r="I1006" s="29"/>
      <c r="J1006" s="29"/>
      <c r="K1006" s="29"/>
      <c r="L1006" s="29"/>
      <c r="M1006" s="29"/>
      <c r="N1006" s="29"/>
    </row>
    <row r="1007" ht="77.25" customHeight="1">
      <c r="A1007" s="28"/>
      <c r="B1007" s="29"/>
      <c r="C1007" s="28"/>
      <c r="D1007" s="29"/>
      <c r="G1007" s="29"/>
      <c r="H1007" s="29"/>
      <c r="I1007" s="29"/>
      <c r="J1007" s="29"/>
      <c r="K1007" s="29"/>
      <c r="L1007" s="29"/>
      <c r="M1007" s="29"/>
      <c r="N1007" s="29"/>
    </row>
    <row r="1008" ht="77.25" customHeight="1">
      <c r="A1008" s="28"/>
      <c r="B1008" s="29"/>
      <c r="C1008" s="28"/>
      <c r="D1008" s="29"/>
      <c r="G1008" s="29"/>
      <c r="H1008" s="29"/>
      <c r="I1008" s="29"/>
      <c r="J1008" s="29"/>
      <c r="K1008" s="29"/>
      <c r="L1008" s="29"/>
      <c r="M1008" s="29"/>
      <c r="N1008" s="29"/>
    </row>
    <row r="1009" ht="77.25" customHeight="1">
      <c r="A1009" s="28"/>
      <c r="B1009" s="29"/>
      <c r="C1009" s="28"/>
      <c r="D1009" s="29"/>
      <c r="G1009" s="29"/>
      <c r="H1009" s="29"/>
      <c r="I1009" s="29"/>
      <c r="J1009" s="29"/>
      <c r="K1009" s="29"/>
      <c r="L1009" s="29"/>
      <c r="M1009" s="29"/>
      <c r="N1009" s="29"/>
    </row>
    <row r="1010" ht="77.25" customHeight="1">
      <c r="A1010" s="28"/>
      <c r="B1010" s="29"/>
      <c r="C1010" s="28"/>
      <c r="D1010" s="29"/>
      <c r="G1010" s="29"/>
      <c r="H1010" s="29"/>
      <c r="I1010" s="29"/>
      <c r="J1010" s="29"/>
      <c r="K1010" s="29"/>
      <c r="L1010" s="29"/>
      <c r="M1010" s="29"/>
      <c r="N1010" s="29"/>
    </row>
    <row r="1011" ht="77.25" customHeight="1">
      <c r="A1011" s="28"/>
      <c r="B1011" s="29"/>
      <c r="C1011" s="28"/>
      <c r="D1011" s="29"/>
      <c r="G1011" s="29"/>
      <c r="H1011" s="29"/>
      <c r="I1011" s="29"/>
      <c r="J1011" s="29"/>
      <c r="K1011" s="29"/>
      <c r="L1011" s="29"/>
      <c r="M1011" s="29"/>
      <c r="N1011" s="29"/>
    </row>
    <row r="1012" ht="77.25" customHeight="1">
      <c r="A1012" s="28"/>
      <c r="B1012" s="29"/>
      <c r="C1012" s="28"/>
      <c r="D1012" s="29"/>
      <c r="G1012" s="29"/>
      <c r="H1012" s="29"/>
      <c r="I1012" s="29"/>
      <c r="J1012" s="29"/>
      <c r="K1012" s="29"/>
      <c r="L1012" s="29"/>
      <c r="M1012" s="29"/>
      <c r="N1012" s="29"/>
    </row>
    <row r="1013" ht="77.25" customHeight="1">
      <c r="A1013" s="28"/>
      <c r="B1013" s="29"/>
      <c r="C1013" s="28"/>
      <c r="D1013" s="29"/>
      <c r="G1013" s="29"/>
      <c r="H1013" s="29"/>
      <c r="I1013" s="29"/>
      <c r="J1013" s="29"/>
      <c r="K1013" s="29"/>
      <c r="L1013" s="29"/>
      <c r="M1013" s="29"/>
      <c r="N1013" s="29"/>
    </row>
    <row r="1014" ht="77.25" customHeight="1">
      <c r="A1014" s="28"/>
      <c r="B1014" s="29"/>
      <c r="C1014" s="28"/>
      <c r="D1014" s="29"/>
      <c r="G1014" s="29"/>
      <c r="H1014" s="29"/>
      <c r="I1014" s="29"/>
      <c r="J1014" s="29"/>
      <c r="K1014" s="29"/>
      <c r="L1014" s="29"/>
      <c r="M1014" s="29"/>
      <c r="N1014" s="29"/>
    </row>
    <row r="1015" ht="77.25" customHeight="1">
      <c r="A1015" s="28"/>
      <c r="B1015" s="29"/>
      <c r="C1015" s="28"/>
      <c r="D1015" s="29"/>
      <c r="G1015" s="29"/>
      <c r="H1015" s="29"/>
      <c r="I1015" s="29"/>
      <c r="J1015" s="29"/>
      <c r="K1015" s="29"/>
      <c r="L1015" s="29"/>
      <c r="M1015" s="29"/>
      <c r="N1015" s="29"/>
    </row>
    <row r="1016" ht="77.25" customHeight="1">
      <c r="A1016" s="28"/>
      <c r="B1016" s="29"/>
      <c r="C1016" s="28"/>
      <c r="D1016" s="29"/>
      <c r="G1016" s="29"/>
      <c r="H1016" s="29"/>
      <c r="I1016" s="29"/>
      <c r="J1016" s="29"/>
      <c r="K1016" s="29"/>
      <c r="L1016" s="29"/>
      <c r="M1016" s="29"/>
      <c r="N1016" s="29"/>
    </row>
    <row r="1017" ht="77.25" customHeight="1">
      <c r="A1017" s="28"/>
      <c r="B1017" s="29"/>
      <c r="C1017" s="28"/>
      <c r="D1017" s="29"/>
      <c r="G1017" s="29"/>
      <c r="H1017" s="29"/>
      <c r="I1017" s="29"/>
      <c r="J1017" s="29"/>
      <c r="K1017" s="29"/>
      <c r="L1017" s="29"/>
      <c r="M1017" s="29"/>
      <c r="N1017" s="29"/>
    </row>
    <row r="1018" ht="77.25" customHeight="1">
      <c r="A1018" s="28"/>
      <c r="B1018" s="29"/>
      <c r="C1018" s="28"/>
      <c r="D1018" s="29"/>
      <c r="G1018" s="29"/>
      <c r="H1018" s="29"/>
      <c r="I1018" s="29"/>
      <c r="J1018" s="29"/>
      <c r="K1018" s="29"/>
      <c r="L1018" s="29"/>
      <c r="M1018" s="29"/>
      <c r="N1018" s="29"/>
    </row>
    <row r="1019" ht="77.25" customHeight="1">
      <c r="A1019" s="28"/>
      <c r="B1019" s="29"/>
      <c r="C1019" s="28"/>
      <c r="D1019" s="29"/>
      <c r="G1019" s="29"/>
      <c r="H1019" s="29"/>
      <c r="I1019" s="29"/>
      <c r="J1019" s="29"/>
      <c r="K1019" s="29"/>
      <c r="L1019" s="29"/>
      <c r="M1019" s="29"/>
      <c r="N1019" s="29"/>
    </row>
    <row r="1020" ht="77.25" customHeight="1">
      <c r="A1020" s="28"/>
      <c r="B1020" s="29"/>
      <c r="C1020" s="28"/>
      <c r="D1020" s="29"/>
      <c r="G1020" s="29"/>
      <c r="H1020" s="29"/>
      <c r="I1020" s="29"/>
      <c r="J1020" s="29"/>
      <c r="K1020" s="29"/>
      <c r="L1020" s="29"/>
      <c r="M1020" s="29"/>
      <c r="N1020" s="29"/>
    </row>
    <row r="1021" ht="77.25" customHeight="1">
      <c r="A1021" s="28"/>
      <c r="B1021" s="29"/>
      <c r="C1021" s="28"/>
      <c r="D1021" s="29"/>
      <c r="G1021" s="29"/>
      <c r="H1021" s="29"/>
      <c r="I1021" s="29"/>
      <c r="J1021" s="29"/>
      <c r="K1021" s="29"/>
      <c r="L1021" s="29"/>
      <c r="M1021" s="29"/>
      <c r="N1021" s="29"/>
    </row>
    <row r="1022" ht="77.25" customHeight="1">
      <c r="A1022" s="28"/>
      <c r="B1022" s="29"/>
      <c r="C1022" s="28"/>
      <c r="D1022" s="29"/>
      <c r="G1022" s="29"/>
      <c r="H1022" s="29"/>
      <c r="I1022" s="29"/>
      <c r="J1022" s="29"/>
      <c r="K1022" s="29"/>
      <c r="L1022" s="29"/>
      <c r="M1022" s="29"/>
      <c r="N1022" s="29"/>
    </row>
    <row r="1023" ht="77.25" customHeight="1">
      <c r="A1023" s="28"/>
      <c r="B1023" s="29"/>
      <c r="C1023" s="28"/>
      <c r="D1023" s="29"/>
      <c r="G1023" s="29"/>
      <c r="H1023" s="29"/>
      <c r="I1023" s="29"/>
      <c r="J1023" s="29"/>
      <c r="K1023" s="29"/>
      <c r="L1023" s="29"/>
      <c r="M1023" s="29"/>
      <c r="N1023" s="29"/>
    </row>
    <row r="1024" ht="77.25" customHeight="1">
      <c r="A1024" s="28"/>
      <c r="B1024" s="29"/>
      <c r="C1024" s="28"/>
      <c r="D1024" s="29"/>
      <c r="G1024" s="29"/>
      <c r="H1024" s="29"/>
      <c r="I1024" s="29"/>
      <c r="J1024" s="29"/>
      <c r="K1024" s="29"/>
      <c r="L1024" s="29"/>
      <c r="M1024" s="29"/>
      <c r="N1024" s="29"/>
    </row>
    <row r="1025" ht="77.25" customHeight="1">
      <c r="A1025" s="28"/>
      <c r="B1025" s="29"/>
      <c r="C1025" s="28"/>
      <c r="D1025" s="29"/>
      <c r="G1025" s="29"/>
      <c r="H1025" s="29"/>
      <c r="I1025" s="29"/>
      <c r="J1025" s="29"/>
      <c r="K1025" s="29"/>
      <c r="L1025" s="29"/>
      <c r="M1025" s="29"/>
      <c r="N1025" s="29"/>
    </row>
    <row r="1026" ht="77.25" customHeight="1">
      <c r="A1026" s="28"/>
      <c r="B1026" s="29"/>
      <c r="C1026" s="28"/>
      <c r="D1026" s="29"/>
      <c r="G1026" s="29"/>
      <c r="H1026" s="29"/>
      <c r="I1026" s="29"/>
      <c r="J1026" s="29"/>
      <c r="K1026" s="29"/>
      <c r="L1026" s="29"/>
      <c r="M1026" s="29"/>
      <c r="N1026" s="29"/>
    </row>
    <row r="1027" ht="77.25" customHeight="1">
      <c r="A1027" s="28"/>
      <c r="B1027" s="29"/>
      <c r="C1027" s="28"/>
      <c r="D1027" s="29"/>
      <c r="G1027" s="29"/>
      <c r="H1027" s="29"/>
      <c r="I1027" s="29"/>
      <c r="J1027" s="29"/>
      <c r="K1027" s="29"/>
      <c r="L1027" s="29"/>
      <c r="M1027" s="29"/>
      <c r="N1027" s="29"/>
    </row>
    <row r="1028" ht="77.25" customHeight="1">
      <c r="A1028" s="28"/>
      <c r="B1028" s="29"/>
      <c r="C1028" s="28"/>
      <c r="D1028" s="29"/>
      <c r="G1028" s="29"/>
      <c r="H1028" s="29"/>
      <c r="I1028" s="29"/>
      <c r="J1028" s="29"/>
      <c r="K1028" s="29"/>
      <c r="L1028" s="29"/>
      <c r="M1028" s="29"/>
      <c r="N1028" s="29"/>
    </row>
    <row r="1029" ht="77.25" customHeight="1">
      <c r="A1029" s="28"/>
      <c r="B1029" s="29"/>
      <c r="C1029" s="28"/>
      <c r="D1029" s="29"/>
      <c r="G1029" s="29"/>
      <c r="H1029" s="29"/>
      <c r="I1029" s="29"/>
      <c r="J1029" s="29"/>
      <c r="K1029" s="29"/>
      <c r="L1029" s="29"/>
      <c r="M1029" s="29"/>
      <c r="N1029" s="29"/>
    </row>
    <row r="1030" ht="77.25" customHeight="1">
      <c r="A1030" s="28"/>
      <c r="B1030" s="29"/>
      <c r="C1030" s="28"/>
      <c r="D1030" s="29"/>
      <c r="G1030" s="29"/>
      <c r="H1030" s="29"/>
      <c r="I1030" s="29"/>
      <c r="J1030" s="29"/>
      <c r="K1030" s="29"/>
      <c r="L1030" s="29"/>
      <c r="M1030" s="29"/>
      <c r="N1030" s="29"/>
    </row>
    <row r="1031" ht="77.25" customHeight="1">
      <c r="A1031" s="28"/>
      <c r="B1031" s="29"/>
      <c r="C1031" s="28"/>
      <c r="D1031" s="29"/>
      <c r="G1031" s="29"/>
      <c r="H1031" s="29"/>
      <c r="I1031" s="29"/>
      <c r="J1031" s="29"/>
      <c r="K1031" s="29"/>
      <c r="L1031" s="29"/>
      <c r="M1031" s="29"/>
      <c r="N1031" s="29"/>
    </row>
    <row r="1032" ht="77.25" customHeight="1">
      <c r="A1032" s="28"/>
      <c r="B1032" s="29"/>
      <c r="C1032" s="28"/>
      <c r="D1032" s="29"/>
      <c r="G1032" s="29"/>
      <c r="H1032" s="29"/>
      <c r="I1032" s="29"/>
      <c r="J1032" s="29"/>
      <c r="K1032" s="29"/>
      <c r="L1032" s="29"/>
      <c r="M1032" s="29"/>
      <c r="N1032" s="29"/>
    </row>
    <row r="1033" ht="77.25" customHeight="1">
      <c r="A1033" s="28"/>
      <c r="B1033" s="29"/>
      <c r="C1033" s="28"/>
      <c r="D1033" s="29"/>
      <c r="G1033" s="29"/>
      <c r="H1033" s="29"/>
      <c r="I1033" s="29"/>
      <c r="J1033" s="29"/>
      <c r="K1033" s="29"/>
      <c r="L1033" s="29"/>
      <c r="M1033" s="29"/>
      <c r="N1033" s="29"/>
    </row>
    <row r="1034" ht="77.25" customHeight="1">
      <c r="A1034" s="28"/>
      <c r="B1034" s="29"/>
      <c r="C1034" s="28"/>
      <c r="D1034" s="29"/>
      <c r="G1034" s="29"/>
      <c r="H1034" s="29"/>
      <c r="I1034" s="29"/>
      <c r="J1034" s="29"/>
      <c r="K1034" s="29"/>
      <c r="L1034" s="29"/>
      <c r="M1034" s="29"/>
      <c r="N1034" s="29"/>
    </row>
    <row r="1035" ht="77.25" customHeight="1">
      <c r="A1035" s="28"/>
      <c r="B1035" s="29"/>
      <c r="C1035" s="28"/>
      <c r="D1035" s="29"/>
      <c r="G1035" s="29"/>
      <c r="H1035" s="29"/>
      <c r="I1035" s="29"/>
      <c r="J1035" s="29"/>
      <c r="K1035" s="29"/>
      <c r="L1035" s="29"/>
      <c r="M1035" s="29"/>
      <c r="N1035" s="29"/>
    </row>
    <row r="1036" ht="77.25" customHeight="1">
      <c r="A1036" s="28"/>
      <c r="B1036" s="29"/>
      <c r="C1036" s="28"/>
      <c r="D1036" s="29"/>
      <c r="G1036" s="29"/>
      <c r="H1036" s="29"/>
      <c r="I1036" s="29"/>
      <c r="J1036" s="29"/>
      <c r="K1036" s="29"/>
      <c r="L1036" s="29"/>
      <c r="M1036" s="29"/>
      <c r="N1036" s="29"/>
    </row>
    <row r="1037" ht="77.25" customHeight="1">
      <c r="A1037" s="28"/>
      <c r="B1037" s="29"/>
      <c r="C1037" s="28"/>
      <c r="D1037" s="29"/>
      <c r="G1037" s="29"/>
      <c r="H1037" s="29"/>
      <c r="I1037" s="29"/>
      <c r="J1037" s="29"/>
      <c r="K1037" s="29"/>
      <c r="L1037" s="29"/>
      <c r="M1037" s="29"/>
      <c r="N1037" s="29"/>
    </row>
    <row r="1038" ht="77.25" customHeight="1">
      <c r="A1038" s="28"/>
      <c r="B1038" s="29"/>
      <c r="C1038" s="28"/>
      <c r="D1038" s="29"/>
      <c r="G1038" s="29"/>
      <c r="H1038" s="29"/>
      <c r="I1038" s="29"/>
      <c r="J1038" s="29"/>
      <c r="K1038" s="29"/>
      <c r="L1038" s="29"/>
      <c r="M1038" s="29"/>
      <c r="N1038" s="29"/>
    </row>
    <row r="1039" ht="77.25" customHeight="1">
      <c r="A1039" s="28"/>
      <c r="B1039" s="29"/>
      <c r="C1039" s="28"/>
      <c r="D1039" s="29"/>
      <c r="G1039" s="29"/>
      <c r="H1039" s="29"/>
      <c r="I1039" s="29"/>
      <c r="J1039" s="29"/>
      <c r="K1039" s="29"/>
      <c r="L1039" s="29"/>
      <c r="M1039" s="29"/>
      <c r="N1039" s="29"/>
    </row>
    <row r="1040" ht="77.25" customHeight="1">
      <c r="A1040" s="28"/>
      <c r="B1040" s="29"/>
      <c r="C1040" s="28"/>
      <c r="D1040" s="29"/>
      <c r="G1040" s="29"/>
      <c r="H1040" s="29"/>
      <c r="I1040" s="29"/>
      <c r="J1040" s="29"/>
      <c r="K1040" s="29"/>
      <c r="L1040" s="29"/>
      <c r="M1040" s="29"/>
      <c r="N1040" s="29"/>
    </row>
    <row r="1041" ht="77.25" customHeight="1">
      <c r="A1041" s="28"/>
      <c r="B1041" s="29"/>
      <c r="C1041" s="28"/>
      <c r="D1041" s="29"/>
      <c r="G1041" s="29"/>
      <c r="H1041" s="29"/>
      <c r="I1041" s="29"/>
      <c r="J1041" s="29"/>
      <c r="K1041" s="29"/>
      <c r="L1041" s="29"/>
      <c r="M1041" s="29"/>
      <c r="N1041" s="29"/>
    </row>
    <row r="1042" ht="77.25" customHeight="1">
      <c r="A1042" s="28"/>
      <c r="B1042" s="29"/>
      <c r="C1042" s="28"/>
      <c r="D1042" s="29"/>
      <c r="G1042" s="29"/>
      <c r="H1042" s="29"/>
      <c r="I1042" s="29"/>
      <c r="J1042" s="29"/>
      <c r="K1042" s="29"/>
      <c r="L1042" s="29"/>
      <c r="M1042" s="29"/>
      <c r="N1042" s="29"/>
    </row>
    <row r="1043" ht="77.25" customHeight="1">
      <c r="A1043" s="28"/>
      <c r="B1043" s="29"/>
      <c r="C1043" s="28"/>
      <c r="D1043" s="29"/>
      <c r="G1043" s="29"/>
      <c r="H1043" s="29"/>
      <c r="I1043" s="29"/>
      <c r="J1043" s="29"/>
      <c r="K1043" s="29"/>
      <c r="L1043" s="29"/>
      <c r="M1043" s="29"/>
      <c r="N1043" s="29"/>
    </row>
    <row r="1044" ht="77.25" customHeight="1">
      <c r="A1044" s="28"/>
      <c r="B1044" s="29"/>
      <c r="C1044" s="28"/>
      <c r="D1044" s="29"/>
      <c r="G1044" s="29"/>
      <c r="H1044" s="29"/>
      <c r="I1044" s="29"/>
      <c r="J1044" s="29"/>
      <c r="K1044" s="29"/>
      <c r="L1044" s="29"/>
      <c r="M1044" s="29"/>
      <c r="N1044" s="29"/>
    </row>
    <row r="1045" ht="77.25" customHeight="1">
      <c r="A1045" s="28"/>
      <c r="B1045" s="29"/>
      <c r="C1045" s="28"/>
      <c r="D1045" s="29"/>
      <c r="G1045" s="29"/>
      <c r="H1045" s="29"/>
      <c r="I1045" s="29"/>
      <c r="J1045" s="29"/>
      <c r="K1045" s="29"/>
      <c r="L1045" s="29"/>
      <c r="M1045" s="29"/>
      <c r="N1045" s="29"/>
    </row>
    <row r="1046" ht="77.25" customHeight="1">
      <c r="A1046" s="28"/>
      <c r="B1046" s="29"/>
      <c r="C1046" s="28"/>
      <c r="D1046" s="29"/>
      <c r="G1046" s="29"/>
      <c r="H1046" s="29"/>
      <c r="I1046" s="29"/>
      <c r="J1046" s="29"/>
      <c r="K1046" s="29"/>
      <c r="L1046" s="29"/>
      <c r="M1046" s="29"/>
      <c r="N1046" s="29"/>
    </row>
    <row r="1047" ht="77.25" customHeight="1">
      <c r="A1047" s="28"/>
      <c r="B1047" s="29"/>
      <c r="C1047" s="28"/>
      <c r="D1047" s="29"/>
      <c r="G1047" s="29"/>
      <c r="H1047" s="29"/>
      <c r="I1047" s="29"/>
      <c r="J1047" s="29"/>
      <c r="K1047" s="29"/>
      <c r="L1047" s="29"/>
      <c r="M1047" s="29"/>
      <c r="N1047" s="29"/>
    </row>
    <row r="1048" ht="77.25" customHeight="1">
      <c r="A1048" s="28"/>
      <c r="B1048" s="29"/>
      <c r="C1048" s="28"/>
      <c r="D1048" s="29"/>
      <c r="G1048" s="29"/>
      <c r="H1048" s="29"/>
      <c r="I1048" s="29"/>
      <c r="J1048" s="29"/>
      <c r="K1048" s="29"/>
      <c r="L1048" s="29"/>
      <c r="M1048" s="29"/>
      <c r="N1048" s="29"/>
    </row>
    <row r="1049" ht="77.25" customHeight="1">
      <c r="A1049" s="28"/>
      <c r="B1049" s="29"/>
      <c r="C1049" s="28"/>
      <c r="D1049" s="29"/>
      <c r="G1049" s="29"/>
      <c r="H1049" s="29"/>
      <c r="I1049" s="29"/>
      <c r="J1049" s="29"/>
      <c r="K1049" s="29"/>
      <c r="L1049" s="29"/>
      <c r="M1049" s="29"/>
      <c r="N1049" s="29"/>
    </row>
    <row r="1050" ht="77.25" customHeight="1">
      <c r="A1050" s="28"/>
      <c r="B1050" s="29"/>
      <c r="C1050" s="28"/>
      <c r="D1050" s="29"/>
      <c r="G1050" s="29"/>
      <c r="H1050" s="29"/>
      <c r="I1050" s="29"/>
      <c r="J1050" s="29"/>
      <c r="K1050" s="29"/>
      <c r="L1050" s="29"/>
      <c r="M1050" s="29"/>
      <c r="N1050" s="29"/>
    </row>
    <row r="1051" ht="77.25" customHeight="1">
      <c r="A1051" s="28"/>
      <c r="B1051" s="29"/>
      <c r="C1051" s="28"/>
      <c r="D1051" s="29"/>
      <c r="G1051" s="29"/>
      <c r="H1051" s="29"/>
      <c r="I1051" s="29"/>
      <c r="J1051" s="29"/>
      <c r="K1051" s="29"/>
      <c r="L1051" s="29"/>
      <c r="M1051" s="29"/>
      <c r="N1051" s="29"/>
    </row>
    <row r="1052" ht="77.25" customHeight="1">
      <c r="A1052" s="28"/>
      <c r="B1052" s="29"/>
      <c r="C1052" s="28"/>
      <c r="D1052" s="29"/>
      <c r="G1052" s="29"/>
      <c r="H1052" s="29"/>
      <c r="I1052" s="29"/>
      <c r="J1052" s="29"/>
      <c r="K1052" s="29"/>
      <c r="L1052" s="29"/>
      <c r="M1052" s="29"/>
      <c r="N1052" s="29"/>
    </row>
    <row r="1053" ht="77.25" customHeight="1">
      <c r="A1053" s="28"/>
      <c r="B1053" s="29"/>
      <c r="C1053" s="28"/>
      <c r="D1053" s="29"/>
      <c r="G1053" s="29"/>
      <c r="H1053" s="29"/>
      <c r="I1053" s="29"/>
      <c r="J1053" s="29"/>
      <c r="K1053" s="29"/>
      <c r="L1053" s="29"/>
      <c r="M1053" s="29"/>
      <c r="N1053" s="29"/>
    </row>
    <row r="1054" ht="77.25" customHeight="1">
      <c r="A1054" s="28"/>
      <c r="B1054" s="29"/>
      <c r="C1054" s="28"/>
      <c r="D1054" s="29"/>
      <c r="G1054" s="29"/>
      <c r="H1054" s="29"/>
      <c r="I1054" s="29"/>
      <c r="J1054" s="29"/>
      <c r="K1054" s="29"/>
      <c r="L1054" s="29"/>
      <c r="M1054" s="29"/>
      <c r="N1054" s="29"/>
    </row>
    <row r="1055" ht="77.25" customHeight="1">
      <c r="A1055" s="28"/>
      <c r="B1055" s="29"/>
      <c r="C1055" s="28"/>
      <c r="D1055" s="29"/>
      <c r="G1055" s="29"/>
      <c r="H1055" s="29"/>
      <c r="I1055" s="29"/>
      <c r="J1055" s="29"/>
      <c r="K1055" s="29"/>
      <c r="L1055" s="29"/>
      <c r="M1055" s="29"/>
      <c r="N1055" s="29"/>
    </row>
    <row r="1056" ht="77.25" customHeight="1">
      <c r="A1056" s="28"/>
      <c r="B1056" s="29"/>
      <c r="C1056" s="28"/>
      <c r="D1056" s="29"/>
      <c r="G1056" s="29"/>
      <c r="H1056" s="29"/>
      <c r="I1056" s="29"/>
      <c r="J1056" s="29"/>
      <c r="K1056" s="29"/>
      <c r="L1056" s="29"/>
      <c r="M1056" s="29"/>
      <c r="N1056" s="29"/>
    </row>
    <row r="1057" ht="77.25" customHeight="1">
      <c r="A1057" s="28"/>
      <c r="B1057" s="29"/>
      <c r="C1057" s="28"/>
      <c r="D1057" s="29"/>
      <c r="G1057" s="29"/>
      <c r="H1057" s="29"/>
      <c r="I1057" s="29"/>
      <c r="J1057" s="29"/>
      <c r="K1057" s="29"/>
      <c r="L1057" s="29"/>
      <c r="M1057" s="29"/>
      <c r="N1057" s="29"/>
    </row>
    <row r="1058" ht="77.25" customHeight="1">
      <c r="A1058" s="28"/>
      <c r="B1058" s="29"/>
      <c r="C1058" s="28"/>
      <c r="D1058" s="29"/>
      <c r="G1058" s="29"/>
      <c r="H1058" s="29"/>
      <c r="I1058" s="29"/>
      <c r="J1058" s="29"/>
      <c r="K1058" s="29"/>
      <c r="L1058" s="29"/>
      <c r="M1058" s="29"/>
      <c r="N1058" s="29"/>
    </row>
    <row r="1059" ht="77.25" customHeight="1">
      <c r="A1059" s="28"/>
      <c r="B1059" s="29"/>
      <c r="C1059" s="28"/>
      <c r="D1059" s="29"/>
      <c r="G1059" s="29"/>
      <c r="H1059" s="29"/>
      <c r="I1059" s="29"/>
      <c r="J1059" s="29"/>
      <c r="K1059" s="29"/>
      <c r="L1059" s="29"/>
      <c r="M1059" s="29"/>
      <c r="N1059" s="29"/>
    </row>
    <row r="1060" ht="77.25" customHeight="1">
      <c r="A1060" s="28"/>
      <c r="B1060" s="29"/>
      <c r="C1060" s="28"/>
      <c r="D1060" s="29"/>
      <c r="G1060" s="29"/>
      <c r="H1060" s="29"/>
      <c r="I1060" s="29"/>
      <c r="J1060" s="29"/>
      <c r="K1060" s="29"/>
      <c r="L1060" s="29"/>
      <c r="M1060" s="29"/>
      <c r="N1060" s="29"/>
    </row>
    <row r="1061" ht="77.25" customHeight="1">
      <c r="A1061" s="28"/>
      <c r="B1061" s="29"/>
      <c r="C1061" s="28"/>
      <c r="D1061" s="29"/>
      <c r="G1061" s="29"/>
      <c r="H1061" s="29"/>
      <c r="I1061" s="29"/>
      <c r="J1061" s="29"/>
      <c r="K1061" s="29"/>
      <c r="L1061" s="29"/>
      <c r="M1061" s="29"/>
      <c r="N1061" s="29"/>
    </row>
    <row r="1062" ht="77.25" customHeight="1">
      <c r="A1062" s="28"/>
      <c r="B1062" s="29"/>
      <c r="C1062" s="28"/>
      <c r="D1062" s="29"/>
      <c r="G1062" s="29"/>
      <c r="H1062" s="29"/>
      <c r="I1062" s="29"/>
      <c r="J1062" s="29"/>
      <c r="K1062" s="29"/>
      <c r="L1062" s="29"/>
      <c r="M1062" s="29"/>
      <c r="N1062" s="29"/>
    </row>
    <row r="1063" ht="77.25" customHeight="1">
      <c r="A1063" s="28"/>
      <c r="B1063" s="29"/>
      <c r="C1063" s="28"/>
      <c r="D1063" s="29"/>
      <c r="G1063" s="29"/>
      <c r="H1063" s="29"/>
      <c r="I1063" s="29"/>
      <c r="J1063" s="29"/>
      <c r="K1063" s="29"/>
      <c r="L1063" s="29"/>
      <c r="M1063" s="29"/>
      <c r="N1063" s="29"/>
    </row>
    <row r="1064" ht="77.25" customHeight="1">
      <c r="A1064" s="28"/>
      <c r="B1064" s="29"/>
      <c r="C1064" s="28"/>
      <c r="D1064" s="29"/>
      <c r="G1064" s="29"/>
      <c r="H1064" s="29"/>
      <c r="I1064" s="29"/>
      <c r="J1064" s="29"/>
      <c r="K1064" s="29"/>
      <c r="L1064" s="29"/>
      <c r="M1064" s="29"/>
      <c r="N1064" s="29"/>
    </row>
    <row r="1065" ht="77.25" customHeight="1">
      <c r="A1065" s="28"/>
      <c r="B1065" s="29"/>
      <c r="C1065" s="28"/>
      <c r="D1065" s="29"/>
      <c r="G1065" s="29"/>
      <c r="H1065" s="29"/>
      <c r="I1065" s="29"/>
      <c r="J1065" s="29"/>
      <c r="K1065" s="29"/>
      <c r="L1065" s="29"/>
      <c r="M1065" s="29"/>
      <c r="N1065" s="29"/>
    </row>
    <row r="1066" ht="77.25" customHeight="1">
      <c r="A1066" s="28"/>
      <c r="B1066" s="29"/>
      <c r="C1066" s="28"/>
      <c r="D1066" s="29"/>
      <c r="G1066" s="29"/>
      <c r="H1066" s="29"/>
      <c r="I1066" s="29"/>
      <c r="J1066" s="29"/>
      <c r="K1066" s="29"/>
      <c r="L1066" s="29"/>
      <c r="M1066" s="29"/>
      <c r="N1066" s="29"/>
    </row>
    <row r="1067" ht="77.25" customHeight="1">
      <c r="A1067" s="28"/>
      <c r="B1067" s="29"/>
      <c r="C1067" s="28"/>
      <c r="D1067" s="29"/>
      <c r="G1067" s="29"/>
      <c r="H1067" s="29"/>
      <c r="I1067" s="29"/>
      <c r="J1067" s="29"/>
      <c r="K1067" s="29"/>
      <c r="L1067" s="29"/>
      <c r="M1067" s="29"/>
      <c r="N1067" s="29"/>
    </row>
    <row r="1068" ht="77.25" customHeight="1">
      <c r="A1068" s="28"/>
      <c r="B1068" s="29"/>
      <c r="C1068" s="28"/>
      <c r="D1068" s="29"/>
      <c r="G1068" s="29"/>
      <c r="H1068" s="29"/>
      <c r="I1068" s="29"/>
      <c r="J1068" s="29"/>
      <c r="K1068" s="29"/>
      <c r="L1068" s="29"/>
      <c r="M1068" s="29"/>
      <c r="N1068" s="29"/>
    </row>
    <row r="1069" ht="77.25" customHeight="1">
      <c r="A1069" s="28"/>
      <c r="B1069" s="29"/>
      <c r="C1069" s="28"/>
      <c r="D1069" s="29"/>
      <c r="G1069" s="29"/>
      <c r="H1069" s="29"/>
      <c r="I1069" s="29"/>
      <c r="J1069" s="29"/>
      <c r="K1069" s="29"/>
      <c r="L1069" s="29"/>
      <c r="M1069" s="29"/>
      <c r="N1069" s="29"/>
    </row>
    <row r="1070" ht="77.25" customHeight="1">
      <c r="A1070" s="28"/>
      <c r="B1070" s="29"/>
      <c r="C1070" s="28"/>
      <c r="D1070" s="29"/>
      <c r="G1070" s="29"/>
      <c r="H1070" s="29"/>
      <c r="I1070" s="29"/>
      <c r="J1070" s="29"/>
      <c r="K1070" s="29"/>
      <c r="L1070" s="29"/>
      <c r="M1070" s="29"/>
      <c r="N1070" s="29"/>
    </row>
    <row r="1071" ht="77.25" customHeight="1">
      <c r="A1071" s="28"/>
      <c r="B1071" s="29"/>
      <c r="C1071" s="28"/>
      <c r="D1071" s="29"/>
      <c r="G1071" s="29"/>
      <c r="H1071" s="29"/>
      <c r="I1071" s="29"/>
      <c r="J1071" s="29"/>
      <c r="K1071" s="29"/>
      <c r="L1071" s="29"/>
      <c r="M1071" s="29"/>
      <c r="N1071" s="29"/>
    </row>
    <row r="1072" ht="77.25" customHeight="1">
      <c r="A1072" s="28"/>
      <c r="B1072" s="29"/>
      <c r="C1072" s="28"/>
      <c r="D1072" s="29"/>
      <c r="G1072" s="29"/>
      <c r="H1072" s="29"/>
      <c r="I1072" s="29"/>
      <c r="J1072" s="29"/>
      <c r="K1072" s="29"/>
      <c r="L1072" s="29"/>
      <c r="M1072" s="29"/>
      <c r="N1072" s="29"/>
    </row>
    <row r="1073" ht="77.25" customHeight="1">
      <c r="A1073" s="28"/>
      <c r="B1073" s="29"/>
      <c r="C1073" s="28"/>
      <c r="D1073" s="29"/>
      <c r="G1073" s="29"/>
      <c r="H1073" s="29"/>
      <c r="I1073" s="29"/>
      <c r="J1073" s="29"/>
      <c r="K1073" s="29"/>
      <c r="L1073" s="29"/>
      <c r="M1073" s="29"/>
      <c r="N1073" s="29"/>
    </row>
    <row r="1074" ht="77.25" customHeight="1">
      <c r="A1074" s="28"/>
      <c r="B1074" s="29"/>
      <c r="C1074" s="28"/>
      <c r="D1074" s="29"/>
      <c r="G1074" s="29"/>
      <c r="H1074" s="29"/>
      <c r="I1074" s="29"/>
      <c r="J1074" s="29"/>
      <c r="K1074" s="29"/>
      <c r="L1074" s="29"/>
      <c r="M1074" s="29"/>
      <c r="N1074" s="29"/>
    </row>
    <row r="1075" ht="77.25" customHeight="1">
      <c r="A1075" s="28"/>
      <c r="B1075" s="29"/>
      <c r="C1075" s="28"/>
      <c r="D1075" s="29"/>
      <c r="G1075" s="29"/>
      <c r="H1075" s="29"/>
      <c r="I1075" s="29"/>
      <c r="J1075" s="29"/>
      <c r="K1075" s="29"/>
      <c r="L1075" s="29"/>
      <c r="M1075" s="29"/>
      <c r="N1075" s="29"/>
    </row>
    <row r="1076" ht="77.25" customHeight="1">
      <c r="A1076" s="28"/>
      <c r="B1076" s="29"/>
      <c r="C1076" s="28"/>
      <c r="D1076" s="29"/>
      <c r="G1076" s="29"/>
      <c r="H1076" s="29"/>
      <c r="I1076" s="29"/>
      <c r="J1076" s="29"/>
      <c r="K1076" s="29"/>
      <c r="L1076" s="29"/>
      <c r="M1076" s="29"/>
      <c r="N1076" s="29"/>
    </row>
    <row r="1077" ht="77.25" customHeight="1">
      <c r="A1077" s="28"/>
      <c r="B1077" s="29"/>
      <c r="C1077" s="28"/>
      <c r="D1077" s="29"/>
      <c r="G1077" s="29"/>
      <c r="H1077" s="29"/>
      <c r="I1077" s="29"/>
      <c r="J1077" s="29"/>
      <c r="K1077" s="29"/>
      <c r="L1077" s="29"/>
      <c r="M1077" s="29"/>
      <c r="N1077" s="29"/>
    </row>
    <row r="1078" ht="77.25" customHeight="1">
      <c r="A1078" s="28"/>
      <c r="B1078" s="29"/>
      <c r="C1078" s="28"/>
      <c r="D1078" s="29"/>
      <c r="G1078" s="29"/>
      <c r="H1078" s="29"/>
      <c r="I1078" s="29"/>
      <c r="J1078" s="29"/>
      <c r="K1078" s="29"/>
      <c r="L1078" s="29"/>
      <c r="M1078" s="29"/>
      <c r="N1078" s="29"/>
    </row>
    <row r="1079" ht="77.25" customHeight="1">
      <c r="A1079" s="28"/>
      <c r="B1079" s="29"/>
      <c r="C1079" s="28"/>
      <c r="D1079" s="29"/>
      <c r="G1079" s="29"/>
      <c r="H1079" s="29"/>
      <c r="I1079" s="29"/>
      <c r="J1079" s="29"/>
      <c r="K1079" s="29"/>
      <c r="L1079" s="29"/>
      <c r="M1079" s="29"/>
      <c r="N1079" s="29"/>
    </row>
    <row r="1080" ht="77.25" customHeight="1">
      <c r="A1080" s="28"/>
      <c r="B1080" s="29"/>
      <c r="C1080" s="28"/>
      <c r="D1080" s="29"/>
      <c r="G1080" s="29"/>
      <c r="H1080" s="29"/>
      <c r="I1080" s="29"/>
      <c r="J1080" s="29"/>
      <c r="K1080" s="29"/>
      <c r="L1080" s="29"/>
      <c r="M1080" s="29"/>
      <c r="N1080" s="29"/>
    </row>
    <row r="1081" ht="77.25" customHeight="1">
      <c r="A1081" s="28"/>
      <c r="B1081" s="29"/>
      <c r="C1081" s="28"/>
      <c r="D1081" s="29"/>
      <c r="G1081" s="29"/>
      <c r="H1081" s="29"/>
      <c r="I1081" s="29"/>
      <c r="J1081" s="29"/>
      <c r="K1081" s="29"/>
      <c r="L1081" s="29"/>
      <c r="M1081" s="29"/>
      <c r="N1081" s="29"/>
    </row>
    <row r="1082" ht="77.25" customHeight="1">
      <c r="A1082" s="28"/>
      <c r="B1082" s="29"/>
      <c r="C1082" s="28"/>
      <c r="D1082" s="29"/>
      <c r="G1082" s="29"/>
      <c r="H1082" s="29"/>
      <c r="I1082" s="29"/>
      <c r="J1082" s="29"/>
      <c r="K1082" s="29"/>
      <c r="L1082" s="29"/>
      <c r="M1082" s="29"/>
      <c r="N1082" s="29"/>
    </row>
    <row r="1083" ht="77.25" customHeight="1">
      <c r="A1083" s="28"/>
      <c r="B1083" s="29"/>
      <c r="C1083" s="28"/>
      <c r="D1083" s="29"/>
      <c r="G1083" s="29"/>
      <c r="H1083" s="29"/>
      <c r="I1083" s="29"/>
      <c r="J1083" s="29"/>
      <c r="K1083" s="29"/>
      <c r="L1083" s="29"/>
      <c r="M1083" s="29"/>
      <c r="N1083" s="29"/>
    </row>
    <row r="1084" ht="77.25" customHeight="1">
      <c r="A1084" s="28"/>
      <c r="B1084" s="29"/>
      <c r="C1084" s="28"/>
      <c r="D1084" s="29"/>
      <c r="G1084" s="29"/>
      <c r="H1084" s="29"/>
      <c r="I1084" s="29"/>
      <c r="J1084" s="29"/>
      <c r="K1084" s="29"/>
      <c r="L1084" s="29"/>
      <c r="M1084" s="29"/>
      <c r="N1084" s="29"/>
    </row>
    <row r="1085" ht="77.25" customHeight="1">
      <c r="A1085" s="28"/>
      <c r="B1085" s="29"/>
      <c r="C1085" s="28"/>
      <c r="D1085" s="29"/>
      <c r="G1085" s="29"/>
      <c r="H1085" s="29"/>
      <c r="I1085" s="29"/>
      <c r="J1085" s="29"/>
      <c r="K1085" s="29"/>
      <c r="L1085" s="29"/>
      <c r="M1085" s="29"/>
      <c r="N1085" s="29"/>
    </row>
    <row r="1086" ht="77.25" customHeight="1">
      <c r="A1086" s="28"/>
      <c r="B1086" s="29"/>
      <c r="C1086" s="28"/>
      <c r="D1086" s="29"/>
      <c r="G1086" s="29"/>
      <c r="H1086" s="29"/>
      <c r="I1086" s="29"/>
      <c r="J1086" s="29"/>
      <c r="K1086" s="29"/>
      <c r="L1086" s="29"/>
      <c r="M1086" s="29"/>
      <c r="N1086" s="29"/>
    </row>
    <row r="1087" ht="77.25" customHeight="1">
      <c r="A1087" s="28"/>
      <c r="B1087" s="29"/>
      <c r="C1087" s="28"/>
      <c r="D1087" s="29"/>
      <c r="G1087" s="29"/>
      <c r="H1087" s="29"/>
      <c r="I1087" s="29"/>
      <c r="J1087" s="29"/>
      <c r="K1087" s="29"/>
      <c r="L1087" s="29"/>
      <c r="M1087" s="29"/>
      <c r="N1087" s="29"/>
    </row>
    <row r="1088" ht="77.25" customHeight="1">
      <c r="A1088" s="28"/>
      <c r="B1088" s="29"/>
      <c r="C1088" s="28"/>
      <c r="D1088" s="29"/>
      <c r="G1088" s="29"/>
      <c r="H1088" s="29"/>
      <c r="I1088" s="29"/>
      <c r="J1088" s="29"/>
      <c r="K1088" s="29"/>
      <c r="L1088" s="29"/>
      <c r="M1088" s="29"/>
      <c r="N1088" s="29"/>
    </row>
    <row r="1089" ht="77.25" customHeight="1">
      <c r="A1089" s="28"/>
      <c r="B1089" s="29"/>
      <c r="C1089" s="28"/>
      <c r="D1089" s="29"/>
      <c r="G1089" s="29"/>
      <c r="H1089" s="29"/>
      <c r="I1089" s="29"/>
      <c r="J1089" s="29"/>
      <c r="K1089" s="29"/>
      <c r="L1089" s="29"/>
      <c r="M1089" s="29"/>
      <c r="N1089" s="29"/>
    </row>
    <row r="1090" ht="77.25" customHeight="1">
      <c r="A1090" s="28"/>
      <c r="B1090" s="29"/>
      <c r="C1090" s="28"/>
      <c r="D1090" s="29"/>
      <c r="G1090" s="29"/>
      <c r="H1090" s="29"/>
      <c r="I1090" s="29"/>
      <c r="J1090" s="29"/>
      <c r="K1090" s="29"/>
      <c r="L1090" s="29"/>
      <c r="M1090" s="29"/>
      <c r="N1090" s="29"/>
    </row>
    <row r="1091" ht="77.25" customHeight="1">
      <c r="A1091" s="28"/>
      <c r="B1091" s="29"/>
      <c r="C1091" s="28"/>
      <c r="D1091" s="29"/>
      <c r="G1091" s="29"/>
      <c r="H1091" s="29"/>
      <c r="I1091" s="29"/>
      <c r="J1091" s="29"/>
      <c r="K1091" s="29"/>
      <c r="L1091" s="29"/>
      <c r="M1091" s="29"/>
      <c r="N1091" s="29"/>
    </row>
    <row r="1092" ht="77.25" customHeight="1">
      <c r="A1092" s="28"/>
      <c r="B1092" s="29"/>
      <c r="C1092" s="28"/>
      <c r="D1092" s="29"/>
      <c r="G1092" s="29"/>
      <c r="H1092" s="29"/>
      <c r="I1092" s="29"/>
      <c r="J1092" s="29"/>
      <c r="K1092" s="29"/>
      <c r="L1092" s="29"/>
      <c r="M1092" s="29"/>
      <c r="N1092" s="29"/>
    </row>
    <row r="1093" ht="77.25" customHeight="1">
      <c r="A1093" s="28"/>
      <c r="B1093" s="29"/>
      <c r="C1093" s="28"/>
      <c r="D1093" s="29"/>
      <c r="G1093" s="29"/>
      <c r="H1093" s="29"/>
      <c r="I1093" s="29"/>
      <c r="J1093" s="29"/>
      <c r="K1093" s="29"/>
      <c r="L1093" s="29"/>
      <c r="M1093" s="29"/>
      <c r="N1093" s="29"/>
    </row>
    <row r="1094" ht="77.25" customHeight="1">
      <c r="A1094" s="28"/>
      <c r="B1094" s="29"/>
      <c r="C1094" s="28"/>
      <c r="D1094" s="29"/>
      <c r="G1094" s="29"/>
      <c r="H1094" s="29"/>
      <c r="I1094" s="29"/>
      <c r="J1094" s="29"/>
      <c r="K1094" s="29"/>
      <c r="L1094" s="29"/>
      <c r="M1094" s="29"/>
      <c r="N1094" s="29"/>
    </row>
    <row r="1095" ht="77.25" customHeight="1">
      <c r="A1095" s="28"/>
      <c r="B1095" s="29"/>
      <c r="C1095" s="28"/>
      <c r="D1095" s="29"/>
      <c r="G1095" s="29"/>
      <c r="H1095" s="29"/>
      <c r="I1095" s="29"/>
      <c r="J1095" s="29"/>
      <c r="K1095" s="29"/>
      <c r="L1095" s="29"/>
      <c r="M1095" s="29"/>
      <c r="N1095" s="29"/>
    </row>
    <row r="1096" ht="77.25" customHeight="1">
      <c r="A1096" s="28"/>
      <c r="B1096" s="29"/>
      <c r="C1096" s="28"/>
      <c r="D1096" s="29"/>
      <c r="G1096" s="29"/>
      <c r="H1096" s="29"/>
      <c r="I1096" s="29"/>
      <c r="J1096" s="29"/>
      <c r="K1096" s="29"/>
      <c r="L1096" s="29"/>
      <c r="M1096" s="29"/>
      <c r="N1096" s="29"/>
    </row>
    <row r="1097" ht="77.25" customHeight="1">
      <c r="A1097" s="28"/>
      <c r="B1097" s="29"/>
      <c r="C1097" s="28"/>
      <c r="D1097" s="29"/>
      <c r="G1097" s="29"/>
      <c r="H1097" s="29"/>
      <c r="I1097" s="29"/>
      <c r="J1097" s="29"/>
      <c r="K1097" s="29"/>
      <c r="L1097" s="29"/>
      <c r="M1097" s="29"/>
      <c r="N1097" s="29"/>
    </row>
    <row r="1098" ht="77.25" customHeight="1">
      <c r="A1098" s="28"/>
      <c r="B1098" s="29"/>
      <c r="C1098" s="28"/>
      <c r="D1098" s="29"/>
      <c r="G1098" s="29"/>
      <c r="H1098" s="29"/>
      <c r="I1098" s="29"/>
      <c r="J1098" s="29"/>
      <c r="K1098" s="29"/>
      <c r="L1098" s="29"/>
      <c r="M1098" s="29"/>
      <c r="N1098" s="29"/>
    </row>
    <row r="1099" ht="77.25" customHeight="1">
      <c r="A1099" s="28"/>
      <c r="B1099" s="29"/>
      <c r="C1099" s="28"/>
      <c r="D1099" s="29"/>
      <c r="G1099" s="29"/>
      <c r="H1099" s="29"/>
      <c r="I1099" s="29"/>
      <c r="J1099" s="29"/>
      <c r="K1099" s="29"/>
      <c r="L1099" s="29"/>
      <c r="M1099" s="29"/>
      <c r="N1099" s="29"/>
    </row>
    <row r="1100" ht="77.25" customHeight="1">
      <c r="A1100" s="28"/>
      <c r="B1100" s="29"/>
      <c r="C1100" s="28"/>
      <c r="D1100" s="29"/>
      <c r="G1100" s="29"/>
      <c r="H1100" s="29"/>
      <c r="I1100" s="29"/>
      <c r="J1100" s="29"/>
      <c r="K1100" s="29"/>
      <c r="L1100" s="29"/>
      <c r="M1100" s="29"/>
      <c r="N1100" s="29"/>
    </row>
    <row r="1101" ht="77.25" customHeight="1">
      <c r="A1101" s="28"/>
      <c r="B1101" s="29"/>
      <c r="C1101" s="28"/>
      <c r="D1101" s="29"/>
      <c r="G1101" s="29"/>
      <c r="H1101" s="29"/>
      <c r="I1101" s="29"/>
      <c r="J1101" s="29"/>
      <c r="K1101" s="29"/>
      <c r="L1101" s="29"/>
      <c r="M1101" s="29"/>
      <c r="N1101" s="29"/>
    </row>
    <row r="1102" ht="77.25" customHeight="1">
      <c r="A1102" s="28"/>
      <c r="B1102" s="29"/>
      <c r="C1102" s="28"/>
      <c r="D1102" s="29"/>
      <c r="G1102" s="29"/>
      <c r="H1102" s="29"/>
      <c r="I1102" s="29"/>
      <c r="J1102" s="29"/>
      <c r="K1102" s="29"/>
      <c r="L1102" s="29"/>
      <c r="M1102" s="29"/>
      <c r="N1102" s="29"/>
    </row>
  </sheetData>
  <mergeCells count="3">
    <mergeCell ref="B1:D1"/>
    <mergeCell ref="E1:F1"/>
    <mergeCell ref="G1:N1"/>
  </mergeCells>
  <dataValidations>
    <dataValidation type="list" allowBlank="1" showErrorMessage="1" sqref="I3:I1102">
      <formula1>"Yandex 04.10,Ничья,Yandex 12.10"</formula1>
    </dataValidation>
    <dataValidation type="list" allowBlank="1" showErrorMessage="1" sqref="M3:M1102">
      <formula1>"нет,только 04.10,только 12.10,у обоих серпов"</formula1>
    </dataValidation>
    <dataValidation type="list" allowBlank="1" showErrorMessage="1" sqref="J3:K1102">
      <formula1>"1,2,3,4,5"</formula1>
    </dataValidation>
    <dataValidation type="list" allowBlank="1" showErrorMessage="1" sqref="H3:H1102 L3:L1102">
      <formula1>"Да,Нет"</formula1>
    </dataValidation>
  </dataValidations>
  <hyperlinks>
    <hyperlink r:id="rId4" ref="N4"/>
    <hyperlink ref="E3" r:id="rIdSnapshot3"/>
    <hyperlink ref="E4" r:id="rIdSnapshot4"/>
    <hyperlink ref="E5" r:id="rIdSnapshot5"/>
    <hyperlink ref="E6" r:id="rIdSnapshot6"/>
    <hyperlink ref="E7" r:id="rIdSnapshot7"/>
    <hyperlink ref="E8" r:id="rIdSnapshot8"/>
    <hyperlink ref="E9" r:id="rIdSnapshot9"/>
    <hyperlink ref="E10" r:id="rIdSnapshot10"/>
    <hyperlink ref="E11" r:id="rIdSnapshot11"/>
    <hyperlink ref="E12" r:id="rIdSnapshot12"/>
    <hyperlink ref="E13" r:id="rIdSnapshot13"/>
    <hyperlink ref="E14" r:id="rIdSnapshot14"/>
    <hyperlink ref="E15" r:id="rIdSnapshot15"/>
    <hyperlink ref="E16" r:id="rIdSnapshot16"/>
    <hyperlink ref="E17" r:id="rIdSnapshot17"/>
    <hyperlink ref="E18" r:id="rIdSnapshot18"/>
    <hyperlink ref="E19" r:id="rIdSnapshot19"/>
    <hyperlink ref="E20" r:id="rIdSnapshot20"/>
    <hyperlink ref="E21" r:id="rIdSnapshot21"/>
    <hyperlink ref="E22" r:id="rIdSnapshot22"/>
    <hyperlink ref="E23" r:id="rIdSnapshot23"/>
    <hyperlink ref="E24" r:id="rIdSnapshot24"/>
    <hyperlink ref="E25" r:id="rIdSnapshot25"/>
    <hyperlink ref="E26" r:id="rIdSnapshot26"/>
    <hyperlink ref="E27" r:id="rIdSnapshot27"/>
    <hyperlink ref="E28" r:id="rIdSnapshot28"/>
    <hyperlink ref="E29" r:id="rIdSnapshot29"/>
    <hyperlink ref="E30" r:id="rIdSnapshot30"/>
    <hyperlink ref="E31" r:id="rIdSnapshot31"/>
    <hyperlink ref="E32" r:id="rIdSnapshot32"/>
    <hyperlink ref="E33" r:id="rIdSnapshot33"/>
    <hyperlink ref="E34" r:id="rIdSnapshot34"/>
    <hyperlink ref="E35" r:id="rIdSnapshot35"/>
    <hyperlink ref="E36" r:id="rIdSnapshot36"/>
    <hyperlink ref="E37" r:id="rIdSnapshot37"/>
    <hyperlink ref="E38" r:id="rIdSnapshot38"/>
    <hyperlink ref="E39" r:id="rIdSnapshot39"/>
    <hyperlink ref="E40" r:id="rIdSnapshot40"/>
    <hyperlink ref="E41" r:id="rIdSnapshot41"/>
    <hyperlink ref="E42" r:id="rIdSnapshot42"/>
    <hyperlink ref="E43" r:id="rIdSnapshot43"/>
    <hyperlink ref="E44" r:id="rIdSnapshot44"/>
    <hyperlink ref="E45" r:id="rIdSnapshot45"/>
    <hyperlink ref="E46" r:id="rIdSnapshot46"/>
    <hyperlink ref="E47" r:id="rIdSnapshot47"/>
    <hyperlink ref="E48" r:id="rIdSnapshot48"/>
    <hyperlink ref="E49" r:id="rIdSnapshot49"/>
    <hyperlink ref="E50" r:id="rIdSnapshot50"/>
    <hyperlink ref="E51" r:id="rIdSnapshot51"/>
    <hyperlink ref="E52" r:id="rIdSnapshot52"/>
    <hyperlink ref="E53" r:id="rIdSnapshot53"/>
    <hyperlink ref="E54" r:id="rIdSnapshot54"/>
    <hyperlink ref="E55" r:id="rIdSnapshot55"/>
    <hyperlink ref="E56" r:id="rIdSnapshot56"/>
    <hyperlink ref="E57" r:id="rIdSnapshot57"/>
    <hyperlink ref="E58" r:id="rIdSnapshot58"/>
    <hyperlink ref="E59" r:id="rIdSnapshot59"/>
    <hyperlink ref="E60" r:id="rIdSnapshot60"/>
    <hyperlink ref="E61" r:id="rIdSnapshot61"/>
    <hyperlink ref="E62" r:id="rIdSnapshot62"/>
    <hyperlink ref="E63" r:id="rIdSnapshot63"/>
    <hyperlink ref="E64" r:id="rIdSnapshot64"/>
    <hyperlink ref="E65" r:id="rIdSnapshot65"/>
    <hyperlink ref="E66" r:id="rIdSnapshot66"/>
    <hyperlink ref="E67" r:id="rIdSnapshot67"/>
    <hyperlink ref="E68" r:id="rIdSnapshot68"/>
    <hyperlink ref="E69" r:id="rIdSnapshot69"/>
    <hyperlink ref="E70" r:id="rIdSnapshot70"/>
    <hyperlink ref="E71" r:id="rIdSnapshot71"/>
    <hyperlink ref="E72" r:id="rIdSnapshot72"/>
    <hyperlink ref="E73" r:id="rIdSnapshot73"/>
    <hyperlink ref="E74" r:id="rIdSnapshot74"/>
    <hyperlink ref="E75" r:id="rIdSnapshot75"/>
    <hyperlink ref="E76" r:id="rIdSnapshot76"/>
    <hyperlink ref="E77" r:id="rIdSnapshot77"/>
    <hyperlink ref="E78" r:id="rIdSnapshot78"/>
    <hyperlink ref="E79" r:id="rIdSnapshot79"/>
    <hyperlink ref="E80" r:id="rIdSnapshot80"/>
    <hyperlink ref="E81" r:id="rIdSnapshot81"/>
    <hyperlink ref="E82" r:id="rIdSnapshot82"/>
    <hyperlink ref="E83" r:id="rIdSnapshot83"/>
    <hyperlink ref="E84" r:id="rIdSnapshot84"/>
    <hyperlink ref="E85" r:id="rIdSnapshot85"/>
    <hyperlink ref="E86" r:id="rIdSnapshot86"/>
    <hyperlink ref="E87" r:id="rIdSnapshot87"/>
    <hyperlink ref="E88" r:id="rIdSnapshot88"/>
    <hyperlink ref="E89" r:id="rIdSnapshot89"/>
    <hyperlink ref="E90" r:id="rIdSnapshot90"/>
    <hyperlink ref="E91" r:id="rIdSnapshot91"/>
    <hyperlink ref="E92" r:id="rIdSnapshot92"/>
    <hyperlink ref="E93" r:id="rIdSnapshot93"/>
    <hyperlink ref="E94" r:id="rIdSnapshot94"/>
    <hyperlink ref="E95" r:id="rIdSnapshot95"/>
    <hyperlink ref="E96" r:id="rIdSnapshot96"/>
    <hyperlink ref="E97" r:id="rIdSnapshot97"/>
    <hyperlink ref="E98" r:id="rIdSnapshot98"/>
    <hyperlink ref="E99" r:id="rIdSnapshot99"/>
    <hyperlink ref="E100" r:id="rIdSnapshot100"/>
    <hyperlink ref="E101" r:id="rIdSnapshot101"/>
    <hyperlink ref="E102" r:id="rIdSnapshot102"/>
  </hyperlinks>
  <drawing r:id="rId1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8" t="s">
        <v>6</v>
      </c>
      <c r="C1" s="10"/>
      <c r="D1" s="11"/>
      <c r="E1" s="11" t="inlineStr">
        <is>
          <t>Прокачка</t>
        </is>
      </c>
      <c r="G1" s="13" t="s">
        <v>9</v>
      </c>
      <c r="H1" s="10"/>
      <c r="I1" s="10"/>
      <c r="J1" s="10"/>
      <c r="K1" s="10"/>
      <c r="L1" s="10"/>
      <c r="M1" s="10"/>
      <c r="N1" s="11"/>
    </row>
    <row r="2">
      <c r="A2" s="16" t="s">
        <v>12</v>
      </c>
      <c r="B2" s="16" t="s">
        <v>13</v>
      </c>
      <c r="C2" s="17" t="s">
        <v>14</v>
      </c>
      <c r="D2" s="18" t="s">
        <v>15</v>
      </c>
      <c r="E2" s="21" t="inlineStr">
        <is>
          <t>url</t>
        </is>
      </c>
      <c r="F2" s="17" t="inlineStr">
        <is>
          <t>ок / не ок</t>
        </is>
      </c>
      <c r="G2" s="17" t="s">
        <v>22</v>
      </c>
      <c r="H2" s="17" t="s">
        <v>24</v>
      </c>
      <c r="I2" s="22" t="s">
        <v>25</v>
      </c>
      <c r="J2" s="23" t="s">
        <v>26</v>
      </c>
      <c r="K2" s="23" t="s">
        <v>28</v>
      </c>
      <c r="L2" s="24" t="s">
        <v>29</v>
      </c>
      <c r="M2" s="24" t="s">
        <v>33</v>
      </c>
      <c r="N2" s="25" t="s">
        <v>34</v>
      </c>
    </row>
    <row r="3">
      <c r="A3" s="26" t="s">
        <v>35</v>
      </c>
      <c r="B3" s="27" t="s">
        <v>36</v>
      </c>
      <c r="C3" s="28" t="s">
        <v>37</v>
      </c>
      <c r="D3" s="29" t="s">
        <v>38</v>
      </c>
      <c r="E3" s="32" t="inlineStr">
        <is>
          <t>Открыть HTML</t>
        </is>
      </c>
      <c r="F3" s="29" t="inlineStr">
        <is>
          <t>ок</t>
        </is>
      </c>
      <c r="G3" s="29" t="s">
        <v>68</v>
      </c>
      <c r="H3" s="29"/>
      <c r="I3" s="29"/>
      <c r="J3" s="29"/>
      <c r="K3" s="29"/>
      <c r="L3" s="29"/>
      <c r="M3" s="29"/>
      <c r="N3" s="33"/>
    </row>
    <row r="4">
      <c r="A4" s="26" t="s">
        <v>60</v>
      </c>
      <c r="B4" s="27" t="s">
        <v>61</v>
      </c>
      <c r="C4" s="28" t="s">
        <v>62</v>
      </c>
      <c r="D4" s="29" t="s">
        <v>63</v>
      </c>
      <c r="E4" s="32" t="inlineStr">
        <is>
          <t>Открыть HTML</t>
        </is>
      </c>
      <c r="F4" s="29" t="inlineStr">
        <is>
          <t>ок</t>
        </is>
      </c>
      <c r="G4" s="29" t="s">
        <v>68</v>
      </c>
      <c r="H4" s="29"/>
      <c r="I4" s="29"/>
      <c r="J4" s="29"/>
      <c r="K4" s="29"/>
      <c r="L4" s="29"/>
      <c r="M4" s="29"/>
      <c r="N4" s="36"/>
    </row>
    <row r="5">
      <c r="A5" s="26" t="s">
        <v>69</v>
      </c>
      <c r="B5" s="27" t="s">
        <v>70</v>
      </c>
      <c r="C5" s="28" t="s">
        <v>62</v>
      </c>
      <c r="D5" s="29" t="s">
        <v>73</v>
      </c>
      <c r="E5" s="35" t="inlineStr">
        <is>
          <t>Открыть HTML</t>
        </is>
      </c>
      <c r="F5" s="29" t="inlineStr">
        <is>
          <t>ок</t>
        </is>
      </c>
      <c r="G5" s="29" t="s">
        <v>68</v>
      </c>
      <c r="H5" s="29"/>
      <c r="I5" s="29"/>
      <c r="J5" s="29"/>
      <c r="K5" s="29"/>
      <c r="L5" s="29"/>
      <c r="M5" s="29"/>
      <c r="N5" s="33"/>
    </row>
    <row r="6">
      <c r="A6" s="26" t="s">
        <v>80</v>
      </c>
      <c r="B6" s="27" t="s">
        <v>81</v>
      </c>
      <c r="C6" s="28" t="s">
        <v>62</v>
      </c>
      <c r="D6" s="29" t="s">
        <v>82</v>
      </c>
      <c r="E6" s="35" t="inlineStr">
        <is>
          <t>Открыть HTML</t>
        </is>
      </c>
      <c r="F6" s="29" t="inlineStr">
        <is>
          <t>ок</t>
        </is>
      </c>
      <c r="G6" s="29" t="s">
        <v>68</v>
      </c>
      <c r="H6" s="29"/>
      <c r="I6" s="29"/>
      <c r="J6" s="29"/>
      <c r="K6" s="29"/>
      <c r="L6" s="29"/>
      <c r="M6" s="29"/>
      <c r="N6" s="33"/>
    </row>
    <row r="7">
      <c r="A7" s="26" t="s">
        <v>94</v>
      </c>
      <c r="B7" s="27" t="s">
        <v>95</v>
      </c>
      <c r="C7" s="28" t="s">
        <v>96</v>
      </c>
      <c r="D7" s="29" t="s">
        <v>98</v>
      </c>
      <c r="E7" s="35" t="inlineStr">
        <is>
          <t>Открыть HTML</t>
        </is>
      </c>
      <c r="F7" s="29" t="inlineStr">
        <is>
          <t>ок</t>
        </is>
      </c>
      <c r="G7" s="29" t="s">
        <v>68</v>
      </c>
      <c r="H7" s="29"/>
      <c r="I7" s="29"/>
      <c r="J7" s="29"/>
      <c r="K7" s="29"/>
      <c r="L7" s="29"/>
      <c r="M7" s="29"/>
      <c r="N7" s="33"/>
    </row>
    <row r="8">
      <c r="A8" s="26" t="s">
        <v>119</v>
      </c>
      <c r="B8" s="27" t="s">
        <v>120</v>
      </c>
      <c r="C8" s="28" t="s">
        <v>37</v>
      </c>
      <c r="D8" s="29" t="s">
        <v>121</v>
      </c>
      <c r="E8" s="35" t="inlineStr">
        <is>
          <t>Открыть HTML</t>
        </is>
      </c>
      <c r="F8" s="29" t="inlineStr">
        <is>
          <t>ок</t>
        </is>
      </c>
      <c r="G8" s="29" t="s">
        <v>68</v>
      </c>
      <c r="H8" s="29"/>
      <c r="I8" s="29"/>
      <c r="J8" s="29"/>
      <c r="K8" s="29"/>
      <c r="L8" s="29"/>
      <c r="M8" s="29"/>
      <c r="N8" s="33"/>
    </row>
    <row r="9">
      <c r="A9" s="26" t="s">
        <v>131</v>
      </c>
      <c r="B9" s="27" t="s">
        <v>132</v>
      </c>
      <c r="C9" s="28" t="s">
        <v>62</v>
      </c>
      <c r="D9" s="29" t="s">
        <v>133</v>
      </c>
      <c r="E9" s="35" t="inlineStr">
        <is>
          <t>Открыть HTML</t>
        </is>
      </c>
      <c r="F9" s="29" t="inlineStr">
        <is>
          <t>ок</t>
        </is>
      </c>
      <c r="G9" s="29" t="s">
        <v>68</v>
      </c>
      <c r="H9" s="29"/>
      <c r="I9" s="29"/>
      <c r="J9" s="29"/>
      <c r="K9" s="29"/>
      <c r="L9" s="29"/>
      <c r="M9" s="29"/>
      <c r="N9" s="33"/>
    </row>
    <row r="10">
      <c r="A10" s="26" t="s">
        <v>140</v>
      </c>
      <c r="B10" s="27" t="s">
        <v>141</v>
      </c>
      <c r="C10" s="28" t="s">
        <v>62</v>
      </c>
      <c r="D10" s="29" t="s">
        <v>142</v>
      </c>
      <c r="E10" s="35" t="inlineStr">
        <is>
          <t>Открыть HTML</t>
        </is>
      </c>
      <c r="F10" s="29" t="inlineStr">
        <is>
          <t>ок</t>
        </is>
      </c>
      <c r="G10" s="29" t="s">
        <v>68</v>
      </c>
      <c r="H10" s="29"/>
      <c r="I10" s="29"/>
      <c r="J10" s="29"/>
      <c r="K10" s="29"/>
      <c r="L10" s="29"/>
      <c r="M10" s="29"/>
      <c r="N10" s="33"/>
    </row>
    <row r="11">
      <c r="A11" s="26" t="s">
        <v>148</v>
      </c>
      <c r="B11" s="27" t="s">
        <v>149</v>
      </c>
      <c r="C11" s="28" t="s">
        <v>62</v>
      </c>
      <c r="D11" s="29" t="s">
        <v>150</v>
      </c>
      <c r="E11" s="32" t="inlineStr">
        <is>
          <t>Открыть HTML</t>
        </is>
      </c>
      <c r="F11" s="29" t="inlineStr">
        <is>
          <t>ок</t>
        </is>
      </c>
      <c r="G11" s="29" t="s">
        <v>68</v>
      </c>
      <c r="H11" s="29"/>
      <c r="I11" s="29"/>
      <c r="J11" s="29"/>
      <c r="K11" s="29"/>
      <c r="L11" s="29"/>
      <c r="M11" s="29"/>
      <c r="N11" s="33"/>
    </row>
    <row r="12">
      <c r="A12" s="26" t="s">
        <v>156</v>
      </c>
      <c r="B12" s="27" t="s">
        <v>157</v>
      </c>
      <c r="C12" s="28" t="s">
        <v>37</v>
      </c>
      <c r="D12" s="29" t="s">
        <v>158</v>
      </c>
      <c r="E12" s="35" t="inlineStr">
        <is>
          <t>Открыть HTML</t>
        </is>
      </c>
      <c r="F12" s="29" t="inlineStr">
        <is>
          <t>ок</t>
        </is>
      </c>
      <c r="G12" s="29" t="s">
        <v>68</v>
      </c>
      <c r="H12" s="29"/>
      <c r="I12" s="29"/>
      <c r="J12" s="29"/>
      <c r="K12" s="29"/>
      <c r="L12" s="29"/>
      <c r="M12" s="29"/>
      <c r="N12" s="33"/>
    </row>
    <row r="13">
      <c r="A13" s="26" t="s">
        <v>166</v>
      </c>
      <c r="B13" s="27" t="s">
        <v>167</v>
      </c>
      <c r="C13" s="28" t="s">
        <v>96</v>
      </c>
      <c r="D13" s="29" t="s">
        <v>168</v>
      </c>
      <c r="E13" s="35" t="inlineStr">
        <is>
          <t>Открыть HTML</t>
        </is>
      </c>
      <c r="F13" s="29" t="inlineStr">
        <is>
          <t>ок</t>
        </is>
      </c>
      <c r="G13" s="29" t="s">
        <v>180</v>
      </c>
      <c r="H13" s="29"/>
      <c r="I13" s="29"/>
      <c r="J13" s="29"/>
      <c r="K13" s="29"/>
      <c r="L13" s="29"/>
      <c r="M13" s="29"/>
      <c r="N13" s="33"/>
    </row>
    <row r="14">
      <c r="A14" s="26" t="s">
        <v>175</v>
      </c>
      <c r="B14" s="27" t="s">
        <v>176</v>
      </c>
      <c r="C14" s="28" t="s">
        <v>37</v>
      </c>
      <c r="D14" s="29" t="s">
        <v>177</v>
      </c>
      <c r="E14" s="35" t="inlineStr">
        <is>
          <t>Открыть HTML</t>
        </is>
      </c>
      <c r="F14" s="29" t="inlineStr">
        <is>
          <t>ок</t>
        </is>
      </c>
      <c r="G14" s="29" t="s">
        <v>180</v>
      </c>
      <c r="H14" s="29"/>
      <c r="I14" s="34"/>
      <c r="J14" s="34"/>
      <c r="K14" s="34"/>
      <c r="L14" s="34"/>
      <c r="M14" s="34"/>
      <c r="N14" s="44"/>
    </row>
    <row r="15">
      <c r="A15" s="26" t="s">
        <v>181</v>
      </c>
      <c r="B15" s="27" t="s">
        <v>182</v>
      </c>
      <c r="C15" s="28" t="s">
        <v>37</v>
      </c>
      <c r="D15" s="29" t="s">
        <v>183</v>
      </c>
      <c r="E15" s="35" t="inlineStr">
        <is>
          <t>Открыть HTML</t>
        </is>
      </c>
      <c r="F15" s="29" t="inlineStr">
        <is>
          <t>ок</t>
        </is>
      </c>
      <c r="G15" s="29" t="s">
        <v>180</v>
      </c>
      <c r="H15" s="29"/>
      <c r="I15" s="29"/>
      <c r="J15" s="29"/>
      <c r="K15" s="29"/>
      <c r="L15" s="29"/>
      <c r="M15" s="29"/>
      <c r="N15" s="33"/>
    </row>
    <row r="16">
      <c r="A16" s="26" t="s">
        <v>189</v>
      </c>
      <c r="B16" s="27" t="s">
        <v>190</v>
      </c>
      <c r="C16" s="28" t="s">
        <v>96</v>
      </c>
      <c r="D16" s="29" t="s">
        <v>191</v>
      </c>
      <c r="E16" s="35" t="inlineStr">
        <is>
          <t>Открыть HTML</t>
        </is>
      </c>
      <c r="F16" s="29" t="inlineStr">
        <is>
          <t>ок</t>
        </is>
      </c>
      <c r="G16" s="29" t="s">
        <v>180</v>
      </c>
      <c r="H16" s="29"/>
      <c r="I16" s="29"/>
      <c r="J16" s="29"/>
      <c r="K16" s="29"/>
      <c r="L16" s="29"/>
      <c r="M16" s="29"/>
      <c r="N16" s="33"/>
    </row>
    <row r="17">
      <c r="A17" s="26" t="s">
        <v>198</v>
      </c>
      <c r="B17" s="27" t="s">
        <v>199</v>
      </c>
      <c r="C17" s="28" t="s">
        <v>37</v>
      </c>
      <c r="D17" s="29" t="s">
        <v>200</v>
      </c>
      <c r="E17" s="35" t="inlineStr">
        <is>
          <t>Открыть HTML</t>
        </is>
      </c>
      <c r="F17" s="29" t="inlineStr">
        <is>
          <t>ок</t>
        </is>
      </c>
      <c r="G17" s="29" t="s">
        <v>180</v>
      </c>
      <c r="H17" s="29"/>
      <c r="I17" s="29"/>
      <c r="J17" s="29"/>
      <c r="K17" s="29"/>
      <c r="L17" s="29"/>
      <c r="M17" s="29"/>
      <c r="N17" s="33"/>
    </row>
    <row r="18">
      <c r="A18" s="26" t="s">
        <v>206</v>
      </c>
      <c r="B18" s="27" t="s">
        <v>207</v>
      </c>
      <c r="C18" s="28" t="s">
        <v>37</v>
      </c>
      <c r="D18" s="29" t="s">
        <v>208</v>
      </c>
      <c r="E18" s="35" t="inlineStr">
        <is>
          <t>Открыть HTML</t>
        </is>
      </c>
      <c r="F18" s="29" t="inlineStr">
        <is>
          <t>ок</t>
        </is>
      </c>
      <c r="G18" s="29" t="s">
        <v>180</v>
      </c>
      <c r="H18" s="29"/>
      <c r="I18" s="29"/>
      <c r="J18" s="29"/>
      <c r="K18" s="29"/>
      <c r="L18" s="29"/>
      <c r="M18" s="29"/>
      <c r="N18" s="33"/>
    </row>
    <row r="19">
      <c r="A19" s="26" t="s">
        <v>214</v>
      </c>
      <c r="B19" s="27" t="s">
        <v>215</v>
      </c>
      <c r="C19" s="28" t="s">
        <v>62</v>
      </c>
      <c r="D19" s="29" t="s">
        <v>216</v>
      </c>
      <c r="E19" s="35" t="inlineStr">
        <is>
          <t>Открыть HTML</t>
        </is>
      </c>
      <c r="F19" s="29" t="inlineStr">
        <is>
          <t>ок</t>
        </is>
      </c>
      <c r="G19" s="29" t="s">
        <v>180</v>
      </c>
      <c r="H19" s="29"/>
      <c r="I19" s="29"/>
      <c r="J19" s="29"/>
      <c r="K19" s="29"/>
      <c r="L19" s="29"/>
      <c r="M19" s="29"/>
      <c r="N19" s="33"/>
    </row>
    <row r="20">
      <c r="A20" s="26" t="s">
        <v>221</v>
      </c>
      <c r="B20" s="27" t="s">
        <v>222</v>
      </c>
      <c r="C20" s="28" t="s">
        <v>62</v>
      </c>
      <c r="D20" s="29" t="s">
        <v>223</v>
      </c>
      <c r="E20" s="35" t="inlineStr">
        <is>
          <t>Открыть HTML</t>
        </is>
      </c>
      <c r="F20" s="29" t="inlineStr">
        <is>
          <t>ок</t>
        </is>
      </c>
      <c r="G20" s="29" t="s">
        <v>180</v>
      </c>
      <c r="H20" s="29"/>
      <c r="I20" s="29"/>
      <c r="J20" s="29"/>
      <c r="K20" s="29"/>
      <c r="L20" s="29"/>
      <c r="M20" s="29"/>
      <c r="N20" s="33"/>
    </row>
    <row r="21">
      <c r="A21" s="26" t="s">
        <v>228</v>
      </c>
      <c r="B21" s="27" t="s">
        <v>229</v>
      </c>
      <c r="C21" s="28" t="s">
        <v>62</v>
      </c>
      <c r="D21" s="29" t="s">
        <v>230</v>
      </c>
      <c r="E21" s="35" t="inlineStr">
        <is>
          <t>Открыть HTML</t>
        </is>
      </c>
      <c r="F21" s="29" t="inlineStr">
        <is>
          <t>ок</t>
        </is>
      </c>
      <c r="G21" s="29" t="s">
        <v>180</v>
      </c>
      <c r="H21" s="29"/>
      <c r="I21" s="29"/>
      <c r="J21" s="29"/>
      <c r="K21" s="29"/>
      <c r="L21" s="29"/>
      <c r="M21" s="29"/>
      <c r="N21" s="33"/>
    </row>
    <row r="22">
      <c r="A22" s="26" t="s">
        <v>237</v>
      </c>
      <c r="B22" s="27" t="s">
        <v>238</v>
      </c>
      <c r="C22" s="28" t="s">
        <v>37</v>
      </c>
      <c r="D22" s="29" t="s">
        <v>239</v>
      </c>
      <c r="E22" s="35" t="inlineStr">
        <is>
          <t>Открыть HTML</t>
        </is>
      </c>
      <c r="F22" s="29" t="inlineStr">
        <is>
          <t>ок</t>
        </is>
      </c>
      <c r="G22" s="29" t="s">
        <v>180</v>
      </c>
      <c r="H22" s="29"/>
      <c r="I22" s="29"/>
      <c r="J22" s="29"/>
      <c r="K22" s="29"/>
      <c r="L22" s="29"/>
      <c r="M22" s="29"/>
      <c r="N22" s="33"/>
    </row>
    <row r="23">
      <c r="A23" s="26" t="s">
        <v>244</v>
      </c>
      <c r="B23" s="27" t="s">
        <v>245</v>
      </c>
      <c r="C23" s="28" t="s">
        <v>37</v>
      </c>
      <c r="D23" s="29" t="s">
        <v>246</v>
      </c>
      <c r="E23" s="35" t="inlineStr">
        <is>
          <t>Открыть HTML</t>
        </is>
      </c>
      <c r="F23" s="29" t="inlineStr">
        <is>
          <t>ок</t>
        </is>
      </c>
      <c r="G23" s="29" t="s">
        <v>265</v>
      </c>
      <c r="H23" s="29"/>
      <c r="I23" s="29"/>
      <c r="J23" s="29"/>
      <c r="K23" s="29"/>
      <c r="L23" s="29"/>
      <c r="M23" s="29"/>
      <c r="N23" s="33"/>
    </row>
    <row r="24">
      <c r="A24" s="26" t="s">
        <v>252</v>
      </c>
      <c r="B24" s="27" t="s">
        <v>253</v>
      </c>
      <c r="C24" s="28" t="s">
        <v>96</v>
      </c>
      <c r="D24" s="29" t="s">
        <v>254</v>
      </c>
      <c r="E24" s="35" t="inlineStr">
        <is>
          <t>Открыть HTML</t>
        </is>
      </c>
      <c r="F24" s="29" t="inlineStr">
        <is>
          <t>ок</t>
        </is>
      </c>
      <c r="G24" s="29" t="s">
        <v>265</v>
      </c>
      <c r="H24" s="29"/>
      <c r="I24" s="29"/>
      <c r="J24" s="29"/>
      <c r="K24" s="29"/>
      <c r="L24" s="29"/>
      <c r="M24" s="29"/>
      <c r="N24" s="33"/>
    </row>
    <row r="25">
      <c r="A25" s="26" t="s">
        <v>261</v>
      </c>
      <c r="B25" s="27" t="s">
        <v>262</v>
      </c>
      <c r="C25" s="28" t="s">
        <v>62</v>
      </c>
      <c r="D25" s="29" t="s">
        <v>263</v>
      </c>
      <c r="E25" s="35" t="inlineStr">
        <is>
          <t>Открыть HTML</t>
        </is>
      </c>
      <c r="F25" s="29" t="inlineStr">
        <is>
          <t>ок</t>
        </is>
      </c>
      <c r="G25" s="29" t="s">
        <v>265</v>
      </c>
      <c r="H25" s="29"/>
      <c r="I25" s="29"/>
      <c r="J25" s="29"/>
      <c r="K25" s="29"/>
      <c r="L25" s="29"/>
      <c r="M25" s="29"/>
      <c r="N25" s="33"/>
    </row>
    <row r="26">
      <c r="A26" s="26" t="s">
        <v>269</v>
      </c>
      <c r="B26" s="27" t="s">
        <v>270</v>
      </c>
      <c r="C26" s="28" t="s">
        <v>62</v>
      </c>
      <c r="D26" s="29" t="s">
        <v>271</v>
      </c>
      <c r="E26" s="32" t="inlineStr">
        <is>
          <t>Открыть HTML</t>
        </is>
      </c>
      <c r="F26" s="29" t="inlineStr">
        <is>
          <t>ок</t>
        </is>
      </c>
      <c r="G26" s="45" t="s">
        <v>265</v>
      </c>
      <c r="H26" s="29"/>
      <c r="I26" s="29"/>
      <c r="J26" s="29"/>
      <c r="K26" s="29"/>
      <c r="L26" s="29"/>
      <c r="M26" s="29"/>
      <c r="N26" s="33"/>
    </row>
    <row r="27">
      <c r="A27" s="26" t="s">
        <v>278</v>
      </c>
      <c r="B27" s="27" t="s">
        <v>279</v>
      </c>
      <c r="C27" s="28" t="s">
        <v>96</v>
      </c>
      <c r="D27" s="29" t="s">
        <v>280</v>
      </c>
      <c r="E27" s="32" t="inlineStr">
        <is>
          <t>Открыть HTML</t>
        </is>
      </c>
      <c r="F27" s="29" t="inlineStr">
        <is>
          <t>ок</t>
        </is>
      </c>
      <c r="G27" s="29" t="s">
        <v>265</v>
      </c>
      <c r="H27" s="29"/>
      <c r="I27" s="29"/>
      <c r="J27" s="29"/>
      <c r="K27" s="29"/>
      <c r="L27" s="29"/>
      <c r="M27" s="29"/>
      <c r="N27" s="33"/>
    </row>
    <row r="28">
      <c r="A28" s="26" t="s">
        <v>286</v>
      </c>
      <c r="B28" s="27" t="s">
        <v>287</v>
      </c>
      <c r="C28" s="28" t="s">
        <v>37</v>
      </c>
      <c r="D28" s="29" t="s">
        <v>288</v>
      </c>
      <c r="E28" s="35" t="inlineStr">
        <is>
          <t>Открыть HTML</t>
        </is>
      </c>
      <c r="F28" s="29" t="inlineStr">
        <is>
          <t>ок</t>
        </is>
      </c>
      <c r="G28" s="29" t="s">
        <v>265</v>
      </c>
      <c r="H28" s="29"/>
      <c r="I28" s="29"/>
      <c r="J28" s="29"/>
      <c r="K28" s="29"/>
      <c r="L28" s="29"/>
      <c r="M28" s="29"/>
      <c r="N28" s="33"/>
    </row>
    <row r="29">
      <c r="A29" s="26" t="s">
        <v>294</v>
      </c>
      <c r="B29" s="27" t="s">
        <v>295</v>
      </c>
      <c r="C29" s="28" t="s">
        <v>37</v>
      </c>
      <c r="D29" s="29" t="s">
        <v>296</v>
      </c>
      <c r="E29" s="35" t="inlineStr">
        <is>
          <t>Открыть HTML</t>
        </is>
      </c>
      <c r="F29" s="29" t="inlineStr">
        <is>
          <t>ок</t>
        </is>
      </c>
      <c r="G29" s="29" t="s">
        <v>265</v>
      </c>
      <c r="H29" s="29"/>
      <c r="I29" s="29"/>
      <c r="J29" s="29"/>
      <c r="K29" s="29"/>
      <c r="L29" s="29"/>
      <c r="M29" s="29"/>
      <c r="N29" s="33"/>
    </row>
    <row r="30">
      <c r="A30" s="26" t="s">
        <v>301</v>
      </c>
      <c r="B30" s="27" t="s">
        <v>302</v>
      </c>
      <c r="C30" s="28" t="s">
        <v>62</v>
      </c>
      <c r="D30" s="29" t="s">
        <v>303</v>
      </c>
      <c r="E30" s="35" t="inlineStr">
        <is>
          <t>Открыть HTML</t>
        </is>
      </c>
      <c r="F30" s="29" t="inlineStr">
        <is>
          <t>ок</t>
        </is>
      </c>
      <c r="G30" s="29" t="s">
        <v>265</v>
      </c>
      <c r="H30" s="29"/>
      <c r="I30" s="29"/>
      <c r="J30" s="29"/>
      <c r="K30" s="29"/>
      <c r="L30" s="29"/>
      <c r="M30" s="29"/>
      <c r="N30" s="33"/>
    </row>
    <row r="31">
      <c r="A31" s="26" t="s">
        <v>308</v>
      </c>
      <c r="B31" s="27" t="s">
        <v>182</v>
      </c>
      <c r="C31" s="28" t="s">
        <v>62</v>
      </c>
      <c r="D31" s="29" t="s">
        <v>309</v>
      </c>
      <c r="E31" s="32" t="inlineStr">
        <is>
          <t>Открыть HTML</t>
        </is>
      </c>
      <c r="F31" s="29" t="inlineStr">
        <is>
          <t>ок</t>
        </is>
      </c>
      <c r="G31" s="29" t="s">
        <v>265</v>
      </c>
      <c r="H31" s="29"/>
      <c r="I31" s="29"/>
      <c r="J31" s="29"/>
      <c r="K31" s="29"/>
      <c r="L31" s="29"/>
      <c r="M31" s="29"/>
      <c r="N31" s="33"/>
    </row>
    <row r="32">
      <c r="A32" s="26" t="s">
        <v>314</v>
      </c>
      <c r="B32" s="27" t="s">
        <v>315</v>
      </c>
      <c r="C32" s="28" t="s">
        <v>37</v>
      </c>
      <c r="D32" s="29" t="s">
        <v>316</v>
      </c>
      <c r="E32" s="35" t="inlineStr">
        <is>
          <t>Открыть HTML</t>
        </is>
      </c>
      <c r="F32" s="29" t="inlineStr">
        <is>
          <t>ок</t>
        </is>
      </c>
      <c r="G32" s="29" t="s">
        <v>265</v>
      </c>
      <c r="H32" s="29"/>
      <c r="I32" s="29"/>
      <c r="J32" s="29"/>
      <c r="K32" s="29"/>
      <c r="L32" s="29"/>
      <c r="M32" s="29"/>
      <c r="N32" s="33"/>
    </row>
    <row r="33">
      <c r="A33" s="26" t="s">
        <v>321</v>
      </c>
      <c r="B33" s="27" t="s">
        <v>322</v>
      </c>
      <c r="C33" s="28" t="s">
        <v>62</v>
      </c>
      <c r="D33" s="29" t="s">
        <v>323</v>
      </c>
      <c r="E33" s="35" t="inlineStr">
        <is>
          <t>Открыть HTML</t>
        </is>
      </c>
      <c r="F33" s="29" t="inlineStr">
        <is>
          <t>ок</t>
        </is>
      </c>
      <c r="G33" s="29" t="s">
        <v>360</v>
      </c>
      <c r="H33" s="29"/>
      <c r="I33" s="29"/>
      <c r="J33" s="29"/>
      <c r="K33" s="29"/>
      <c r="L33" s="29"/>
      <c r="M33" s="29"/>
      <c r="N33" s="33"/>
    </row>
    <row r="34">
      <c r="A34" s="26" t="s">
        <v>328</v>
      </c>
      <c r="B34" s="27" t="s">
        <v>329</v>
      </c>
      <c r="C34" s="28" t="s">
        <v>37</v>
      </c>
      <c r="D34" s="29" t="s">
        <v>330</v>
      </c>
      <c r="E34" s="35" t="inlineStr">
        <is>
          <t>Открыть HTML</t>
        </is>
      </c>
      <c r="F34" s="29" t="inlineStr">
        <is>
          <t>ок</t>
        </is>
      </c>
      <c r="G34" s="29" t="s">
        <v>360</v>
      </c>
      <c r="H34" s="29"/>
      <c r="I34" s="29"/>
      <c r="J34" s="29"/>
      <c r="K34" s="29"/>
      <c r="L34" s="29"/>
      <c r="M34" s="29"/>
      <c r="N34" s="33"/>
    </row>
    <row r="35">
      <c r="A35" s="26" t="s">
        <v>336</v>
      </c>
      <c r="B35" s="27" t="s">
        <v>182</v>
      </c>
      <c r="C35" s="28" t="s">
        <v>37</v>
      </c>
      <c r="D35" s="29" t="s">
        <v>337</v>
      </c>
      <c r="E35" s="35" t="inlineStr">
        <is>
          <t>Открыть HTML</t>
        </is>
      </c>
      <c r="F35" s="29" t="inlineStr">
        <is>
          <t>ок</t>
        </is>
      </c>
      <c r="G35" s="29" t="s">
        <v>360</v>
      </c>
      <c r="H35" s="29"/>
      <c r="I35" s="29"/>
      <c r="J35" s="29"/>
      <c r="K35" s="29"/>
      <c r="L35" s="29"/>
      <c r="M35" s="29"/>
      <c r="N35" s="33"/>
    </row>
    <row r="36">
      <c r="A36" s="26" t="s">
        <v>342</v>
      </c>
      <c r="B36" s="27" t="s">
        <v>343</v>
      </c>
      <c r="C36" s="28" t="s">
        <v>62</v>
      </c>
      <c r="D36" s="29" t="s">
        <v>344</v>
      </c>
      <c r="E36" s="35" t="inlineStr">
        <is>
          <t>Открыть HTML</t>
        </is>
      </c>
      <c r="F36" s="29" t="inlineStr">
        <is>
          <t>ок</t>
        </is>
      </c>
      <c r="G36" s="29" t="s">
        <v>360</v>
      </c>
      <c r="H36" s="29"/>
      <c r="I36" s="29"/>
      <c r="J36" s="29"/>
      <c r="K36" s="29"/>
      <c r="L36" s="29"/>
      <c r="M36" s="29"/>
      <c r="N36" s="33"/>
    </row>
    <row r="37">
      <c r="A37" s="26" t="s">
        <v>349</v>
      </c>
      <c r="B37" s="27" t="s">
        <v>350</v>
      </c>
      <c r="C37" s="28" t="s">
        <v>37</v>
      </c>
      <c r="D37" s="29" t="s">
        <v>351</v>
      </c>
      <c r="E37" s="35" t="inlineStr">
        <is>
          <t>Открыть HTML</t>
        </is>
      </c>
      <c r="F37" s="29" t="inlineStr">
        <is>
          <t>ок</t>
        </is>
      </c>
      <c r="G37" s="29" t="s">
        <v>360</v>
      </c>
      <c r="H37" s="29"/>
      <c r="I37" s="29"/>
      <c r="J37" s="29"/>
      <c r="K37" s="29"/>
      <c r="L37" s="29"/>
      <c r="M37" s="29"/>
      <c r="N37" s="33"/>
    </row>
    <row r="38">
      <c r="A38" s="26" t="s">
        <v>355</v>
      </c>
      <c r="B38" s="27" t="s">
        <v>182</v>
      </c>
      <c r="C38" s="28" t="s">
        <v>62</v>
      </c>
      <c r="D38" s="29" t="s">
        <v>356</v>
      </c>
      <c r="E38" s="35" t="inlineStr">
        <is>
          <t>Открыть HTML</t>
        </is>
      </c>
      <c r="F38" s="29" t="inlineStr">
        <is>
          <t>ок</t>
        </is>
      </c>
      <c r="G38" s="29" t="s">
        <v>360</v>
      </c>
      <c r="H38" s="29"/>
      <c r="I38" s="29"/>
      <c r="J38" s="29"/>
      <c r="K38" s="29"/>
      <c r="L38" s="29"/>
      <c r="M38" s="29"/>
      <c r="N38" s="33"/>
    </row>
    <row r="39">
      <c r="A39" s="26" t="s">
        <v>363</v>
      </c>
      <c r="B39" s="27" t="s">
        <v>364</v>
      </c>
      <c r="C39" s="28" t="s">
        <v>62</v>
      </c>
      <c r="D39" s="29" t="s">
        <v>365</v>
      </c>
      <c r="E39" s="35" t="inlineStr">
        <is>
          <t>Открыть HTML</t>
        </is>
      </c>
      <c r="F39" s="29" t="inlineStr">
        <is>
          <t>ок</t>
        </is>
      </c>
      <c r="G39" s="29" t="s">
        <v>360</v>
      </c>
      <c r="H39" s="29"/>
      <c r="I39" s="29"/>
      <c r="J39" s="29"/>
      <c r="K39" s="29"/>
      <c r="L39" s="29"/>
      <c r="M39" s="29"/>
      <c r="N39" s="33"/>
    </row>
    <row r="40">
      <c r="A40" s="26" t="s">
        <v>371</v>
      </c>
      <c r="B40" s="27" t="s">
        <v>372</v>
      </c>
      <c r="C40" s="28" t="s">
        <v>62</v>
      </c>
      <c r="D40" s="29" t="s">
        <v>373</v>
      </c>
      <c r="E40" s="35" t="inlineStr">
        <is>
          <t>Открыть HTML</t>
        </is>
      </c>
      <c r="F40" s="29" t="inlineStr">
        <is>
          <t>ок</t>
        </is>
      </c>
      <c r="G40" s="29" t="s">
        <v>360</v>
      </c>
      <c r="H40" s="29"/>
      <c r="I40" s="29"/>
      <c r="J40" s="29"/>
      <c r="K40" s="29"/>
      <c r="L40" s="29"/>
      <c r="M40" s="29"/>
      <c r="N40" s="33"/>
    </row>
    <row r="41">
      <c r="A41" s="26" t="s">
        <v>379</v>
      </c>
      <c r="B41" s="27" t="s">
        <v>380</v>
      </c>
      <c r="C41" s="28" t="s">
        <v>62</v>
      </c>
      <c r="D41" s="29" t="s">
        <v>381</v>
      </c>
      <c r="E41" s="35" t="inlineStr">
        <is>
          <t>Открыть HTML</t>
        </is>
      </c>
      <c r="F41" s="29" t="inlineStr">
        <is>
          <t>ок</t>
        </is>
      </c>
      <c r="G41" s="29" t="s">
        <v>360</v>
      </c>
      <c r="H41" s="29"/>
      <c r="I41" s="29"/>
      <c r="J41" s="29"/>
      <c r="K41" s="29"/>
      <c r="L41" s="29"/>
      <c r="M41" s="29"/>
      <c r="N41" s="33"/>
    </row>
    <row r="42">
      <c r="A42" s="26" t="s">
        <v>387</v>
      </c>
      <c r="B42" s="27" t="s">
        <v>388</v>
      </c>
      <c r="C42" s="28" t="s">
        <v>62</v>
      </c>
      <c r="D42" s="29" t="s">
        <v>389</v>
      </c>
      <c r="E42" s="35" t="inlineStr">
        <is>
          <t>Открыть HTML</t>
        </is>
      </c>
      <c r="F42" s="29" t="inlineStr">
        <is>
          <t>ок</t>
        </is>
      </c>
      <c r="G42" s="29" t="s">
        <v>360</v>
      </c>
      <c r="H42" s="29"/>
      <c r="I42" s="29"/>
      <c r="J42" s="29"/>
      <c r="K42" s="29"/>
      <c r="L42" s="29"/>
      <c r="M42" s="29"/>
      <c r="N42" s="33"/>
    </row>
    <row r="43">
      <c r="A43" s="26" t="s">
        <v>394</v>
      </c>
      <c r="B43" s="27" t="s">
        <v>395</v>
      </c>
      <c r="C43" s="28" t="s">
        <v>62</v>
      </c>
      <c r="D43" s="29" t="s">
        <v>396</v>
      </c>
      <c r="E43" s="35" t="inlineStr">
        <is>
          <t>Открыть HTML</t>
        </is>
      </c>
      <c r="F43" s="29" t="inlineStr">
        <is>
          <t>ок</t>
        </is>
      </c>
      <c r="G43" s="29" t="s">
        <v>470</v>
      </c>
      <c r="H43" s="29"/>
      <c r="I43" s="29"/>
      <c r="J43" s="29"/>
      <c r="K43" s="29"/>
      <c r="L43" s="29"/>
      <c r="M43" s="29"/>
      <c r="N43" s="33"/>
    </row>
    <row r="44">
      <c r="A44" s="26" t="s">
        <v>401</v>
      </c>
      <c r="B44" s="27" t="s">
        <v>402</v>
      </c>
      <c r="C44" s="28" t="s">
        <v>37</v>
      </c>
      <c r="D44" s="29" t="s">
        <v>403</v>
      </c>
      <c r="E44" s="35" t="inlineStr">
        <is>
          <t>Открыть HTML</t>
        </is>
      </c>
      <c r="F44" s="29" t="inlineStr">
        <is>
          <t>ок</t>
        </is>
      </c>
      <c r="G44" s="29" t="s">
        <v>470</v>
      </c>
      <c r="H44" s="29"/>
      <c r="I44" s="29"/>
      <c r="J44" s="29"/>
      <c r="K44" s="29"/>
      <c r="L44" s="29"/>
      <c r="M44" s="29"/>
      <c r="N44" s="33"/>
    </row>
    <row r="45">
      <c r="A45" s="26" t="s">
        <v>408</v>
      </c>
      <c r="B45" s="27" t="s">
        <v>409</v>
      </c>
      <c r="C45" s="28" t="s">
        <v>37</v>
      </c>
      <c r="D45" s="29" t="s">
        <v>410</v>
      </c>
      <c r="E45" s="35" t="inlineStr">
        <is>
          <t>Открыть HTML</t>
        </is>
      </c>
      <c r="F45" s="29" t="inlineStr">
        <is>
          <t>ок</t>
        </is>
      </c>
      <c r="G45" s="29" t="s">
        <v>470</v>
      </c>
      <c r="H45" s="29"/>
      <c r="I45" s="29"/>
      <c r="J45" s="29"/>
      <c r="K45" s="29"/>
      <c r="L45" s="29"/>
      <c r="M45" s="29"/>
      <c r="N45" s="33"/>
    </row>
    <row r="46">
      <c r="A46" s="26" t="s">
        <v>415</v>
      </c>
      <c r="B46" s="27" t="s">
        <v>416</v>
      </c>
      <c r="C46" s="28" t="s">
        <v>37</v>
      </c>
      <c r="D46" s="29" t="s">
        <v>417</v>
      </c>
      <c r="E46" s="35" t="inlineStr">
        <is>
          <t>Открыть HTML</t>
        </is>
      </c>
      <c r="F46" s="29" t="inlineStr">
        <is>
          <t>ок</t>
        </is>
      </c>
      <c r="G46" s="29" t="s">
        <v>470</v>
      </c>
      <c r="H46" s="29"/>
      <c r="I46" s="29"/>
      <c r="J46" s="29"/>
      <c r="K46" s="29"/>
      <c r="L46" s="29"/>
      <c r="M46" s="29"/>
      <c r="N46" s="33"/>
    </row>
    <row r="47">
      <c r="A47" s="26" t="s">
        <v>422</v>
      </c>
      <c r="B47" s="27" t="s">
        <v>229</v>
      </c>
      <c r="C47" s="28" t="s">
        <v>62</v>
      </c>
      <c r="D47" s="29" t="s">
        <v>424</v>
      </c>
      <c r="E47" s="35" t="inlineStr">
        <is>
          <t>Открыть HTML</t>
        </is>
      </c>
      <c r="F47" s="29" t="inlineStr">
        <is>
          <t>ок</t>
        </is>
      </c>
      <c r="G47" s="29" t="s">
        <v>470</v>
      </c>
      <c r="H47" s="29"/>
      <c r="I47" s="29"/>
      <c r="J47" s="29"/>
      <c r="K47" s="29"/>
      <c r="L47" s="29"/>
      <c r="M47" s="29"/>
      <c r="N47" s="33"/>
    </row>
    <row r="48">
      <c r="A48" s="26" t="s">
        <v>429</v>
      </c>
      <c r="B48" s="27" t="s">
        <v>430</v>
      </c>
      <c r="C48" s="28" t="s">
        <v>37</v>
      </c>
      <c r="D48" s="29" t="s">
        <v>431</v>
      </c>
      <c r="E48" s="35" t="inlineStr">
        <is>
          <t>Открыть HTML</t>
        </is>
      </c>
      <c r="F48" s="29" t="inlineStr">
        <is>
          <t>ок</t>
        </is>
      </c>
      <c r="G48" s="29" t="s">
        <v>470</v>
      </c>
      <c r="H48" s="29"/>
      <c r="I48" s="29"/>
      <c r="J48" s="29"/>
      <c r="K48" s="29"/>
      <c r="L48" s="29"/>
      <c r="M48" s="29"/>
      <c r="N48" s="33"/>
    </row>
    <row r="49">
      <c r="A49" s="26" t="s">
        <v>437</v>
      </c>
      <c r="B49" s="27" t="s">
        <v>438</v>
      </c>
      <c r="C49" s="28" t="s">
        <v>62</v>
      </c>
      <c r="D49" s="29" t="s">
        <v>439</v>
      </c>
      <c r="E49" s="35" t="inlineStr">
        <is>
          <t>Открыть HTML</t>
        </is>
      </c>
      <c r="F49" s="29" t="inlineStr">
        <is>
          <t>ок</t>
        </is>
      </c>
      <c r="G49" s="29" t="s">
        <v>470</v>
      </c>
      <c r="H49" s="29"/>
      <c r="I49" s="29"/>
      <c r="J49" s="29"/>
      <c r="K49" s="29"/>
      <c r="L49" s="29"/>
      <c r="M49" s="29"/>
      <c r="N49" s="33"/>
    </row>
    <row r="50">
      <c r="A50" s="26" t="s">
        <v>444</v>
      </c>
      <c r="B50" s="27" t="s">
        <v>445</v>
      </c>
      <c r="C50" s="28" t="s">
        <v>37</v>
      </c>
      <c r="D50" s="29" t="s">
        <v>446</v>
      </c>
      <c r="E50" s="35" t="inlineStr">
        <is>
          <t>Открыть HTML</t>
        </is>
      </c>
      <c r="F50" s="29" t="inlineStr">
        <is>
          <t>ок</t>
        </is>
      </c>
      <c r="G50" s="29" t="s">
        <v>470</v>
      </c>
      <c r="H50" s="29"/>
      <c r="I50" s="29"/>
      <c r="J50" s="29"/>
      <c r="K50" s="29"/>
      <c r="L50" s="29"/>
      <c r="M50" s="29"/>
      <c r="N50" s="33"/>
    </row>
    <row r="51">
      <c r="A51" s="26" t="s">
        <v>452</v>
      </c>
      <c r="B51" s="27" t="s">
        <v>453</v>
      </c>
      <c r="C51" s="28" t="s">
        <v>37</v>
      </c>
      <c r="D51" s="29" t="s">
        <v>454</v>
      </c>
      <c r="E51" s="35" t="inlineStr">
        <is>
          <t>Открыть HTML</t>
        </is>
      </c>
      <c r="F51" s="29" t="inlineStr">
        <is>
          <t>ок</t>
        </is>
      </c>
      <c r="G51" s="29" t="s">
        <v>470</v>
      </c>
      <c r="H51" s="29"/>
      <c r="I51" s="29"/>
      <c r="J51" s="29"/>
      <c r="K51" s="29"/>
      <c r="L51" s="29"/>
      <c r="M51" s="29"/>
      <c r="N51" s="33"/>
    </row>
    <row r="52">
      <c r="A52" s="26" t="s">
        <v>459</v>
      </c>
      <c r="B52" s="27" t="s">
        <v>120</v>
      </c>
      <c r="C52" s="28" t="s">
        <v>62</v>
      </c>
      <c r="D52" s="29" t="s">
        <v>460</v>
      </c>
      <c r="E52" s="35" t="inlineStr">
        <is>
          <t>Открыть HTML</t>
        </is>
      </c>
      <c r="F52" s="29" t="inlineStr">
        <is>
          <t>ок</t>
        </is>
      </c>
      <c r="G52" s="29" t="s">
        <v>470</v>
      </c>
      <c r="H52" s="29"/>
      <c r="I52" s="29"/>
      <c r="J52" s="29"/>
      <c r="K52" s="29"/>
      <c r="L52" s="29"/>
      <c r="M52" s="29"/>
      <c r="N52" s="33"/>
    </row>
    <row r="53">
      <c r="A53" s="26" t="s">
        <v>466</v>
      </c>
      <c r="B53" s="27" t="s">
        <v>467</v>
      </c>
      <c r="C53" s="28" t="s">
        <v>96</v>
      </c>
      <c r="D53" s="29" t="s">
        <v>468</v>
      </c>
      <c r="E53" s="35" t="inlineStr">
        <is>
          <t>Открыть HTML</t>
        </is>
      </c>
      <c r="F53" s="29" t="inlineStr">
        <is>
          <t>ок</t>
        </is>
      </c>
      <c r="G53" s="29" t="s">
        <v>554</v>
      </c>
      <c r="H53" s="29"/>
      <c r="I53" s="29"/>
      <c r="J53" s="29"/>
      <c r="K53" s="29"/>
      <c r="L53" s="29"/>
      <c r="M53" s="29"/>
      <c r="N53" s="33"/>
    </row>
    <row r="54">
      <c r="A54" s="26" t="s">
        <v>474</v>
      </c>
      <c r="B54" s="27" t="s">
        <v>475</v>
      </c>
      <c r="C54" s="28" t="s">
        <v>37</v>
      </c>
      <c r="D54" s="29" t="s">
        <v>476</v>
      </c>
      <c r="E54" s="35" t="inlineStr">
        <is>
          <t>Открыть HTML</t>
        </is>
      </c>
      <c r="F54" s="29" t="inlineStr">
        <is>
          <t>ок</t>
        </is>
      </c>
      <c r="G54" s="29" t="s">
        <v>554</v>
      </c>
      <c r="H54" s="29"/>
      <c r="I54" s="29"/>
      <c r="J54" s="29"/>
      <c r="K54" s="29"/>
      <c r="L54" s="29"/>
      <c r="M54" s="29"/>
      <c r="N54" s="33"/>
    </row>
    <row r="55">
      <c r="A55" s="26" t="s">
        <v>481</v>
      </c>
      <c r="B55" s="27" t="s">
        <v>482</v>
      </c>
      <c r="C55" s="28" t="s">
        <v>37</v>
      </c>
      <c r="D55" s="29" t="s">
        <v>483</v>
      </c>
      <c r="E55" s="35" t="inlineStr">
        <is>
          <t>Открыть HTML</t>
        </is>
      </c>
      <c r="F55" s="29" t="inlineStr">
        <is>
          <t>ок</t>
        </is>
      </c>
      <c r="G55" s="29" t="s">
        <v>554</v>
      </c>
      <c r="H55" s="29"/>
      <c r="I55" s="29"/>
      <c r="J55" s="29"/>
      <c r="K55" s="29"/>
      <c r="L55" s="29"/>
      <c r="M55" s="29"/>
      <c r="N55" s="33"/>
    </row>
    <row r="56">
      <c r="A56" s="26" t="s">
        <v>488</v>
      </c>
      <c r="B56" s="27" t="s">
        <v>489</v>
      </c>
      <c r="C56" s="28" t="s">
        <v>62</v>
      </c>
      <c r="D56" s="29" t="s">
        <v>490</v>
      </c>
      <c r="E56" s="35" t="inlineStr">
        <is>
          <t>Открыть HTML</t>
        </is>
      </c>
      <c r="F56" s="29" t="inlineStr">
        <is>
          <t>ок</t>
        </is>
      </c>
      <c r="G56" s="29" t="s">
        <v>554</v>
      </c>
      <c r="H56" s="29"/>
      <c r="I56" s="29"/>
      <c r="J56" s="29"/>
      <c r="K56" s="29"/>
      <c r="L56" s="29"/>
      <c r="M56" s="29"/>
      <c r="N56" s="33"/>
    </row>
    <row r="57">
      <c r="A57" s="26" t="s">
        <v>495</v>
      </c>
      <c r="B57" s="27" t="s">
        <v>329</v>
      </c>
      <c r="C57" s="28" t="s">
        <v>37</v>
      </c>
      <c r="D57" s="29" t="s">
        <v>496</v>
      </c>
      <c r="E57" s="35" t="inlineStr">
        <is>
          <t>Открыть HTML</t>
        </is>
      </c>
      <c r="F57" s="29" t="inlineStr">
        <is>
          <t>ок</t>
        </is>
      </c>
      <c r="G57" s="29" t="s">
        <v>554</v>
      </c>
      <c r="H57" s="29"/>
      <c r="I57" s="29"/>
      <c r="J57" s="29"/>
      <c r="K57" s="29"/>
      <c r="L57" s="29"/>
      <c r="M57" s="29"/>
      <c r="N57" s="33"/>
    </row>
    <row r="58">
      <c r="A58" s="26" t="s">
        <v>501</v>
      </c>
      <c r="B58" s="27" t="s">
        <v>502</v>
      </c>
      <c r="C58" s="28" t="s">
        <v>62</v>
      </c>
      <c r="D58" s="29" t="s">
        <v>503</v>
      </c>
      <c r="E58" s="35" t="inlineStr">
        <is>
          <t>Открыть HTML</t>
        </is>
      </c>
      <c r="F58" s="29" t="inlineStr">
        <is>
          <t>ок</t>
        </is>
      </c>
      <c r="G58" s="29" t="s">
        <v>554</v>
      </c>
      <c r="H58" s="29"/>
      <c r="I58" s="29"/>
      <c r="J58" s="29"/>
      <c r="K58" s="29"/>
      <c r="L58" s="29"/>
      <c r="M58" s="29"/>
      <c r="N58" s="33"/>
    </row>
    <row r="59">
      <c r="A59" s="26" t="s">
        <v>509</v>
      </c>
      <c r="B59" s="27" t="s">
        <v>182</v>
      </c>
      <c r="C59" s="28" t="s">
        <v>96</v>
      </c>
      <c r="D59" s="29" t="s">
        <v>510</v>
      </c>
      <c r="E59" s="35" t="inlineStr">
        <is>
          <t>Открыть HTML</t>
        </is>
      </c>
      <c r="F59" s="29" t="inlineStr">
        <is>
          <t>ок</t>
        </is>
      </c>
      <c r="G59" s="29" t="s">
        <v>554</v>
      </c>
      <c r="H59" s="29"/>
      <c r="I59" s="29"/>
      <c r="J59" s="29"/>
      <c r="K59" s="29"/>
      <c r="L59" s="29"/>
      <c r="M59" s="29"/>
      <c r="N59" s="33"/>
    </row>
    <row r="60">
      <c r="A60" s="26" t="s">
        <v>515</v>
      </c>
      <c r="B60" s="27" t="s">
        <v>516</v>
      </c>
      <c r="C60" s="28" t="s">
        <v>62</v>
      </c>
      <c r="D60" s="29" t="s">
        <v>517</v>
      </c>
      <c r="E60" s="35" t="inlineStr">
        <is>
          <t>Открыть HTML</t>
        </is>
      </c>
      <c r="F60" s="29" t="inlineStr">
        <is>
          <t>ок</t>
        </is>
      </c>
      <c r="G60" s="29" t="s">
        <v>554</v>
      </c>
      <c r="H60" s="29"/>
      <c r="I60" s="29"/>
      <c r="J60" s="29"/>
      <c r="K60" s="29"/>
      <c r="L60" s="29"/>
      <c r="M60" s="29"/>
      <c r="N60" s="33"/>
    </row>
    <row r="61">
      <c r="A61" s="26" t="s">
        <v>522</v>
      </c>
      <c r="B61" s="27" t="s">
        <v>523</v>
      </c>
      <c r="C61" s="28" t="s">
        <v>62</v>
      </c>
      <c r="D61" s="29" t="s">
        <v>524</v>
      </c>
      <c r="E61" s="35" t="inlineStr">
        <is>
          <t>Открыть HTML</t>
        </is>
      </c>
      <c r="F61" s="29" t="inlineStr">
        <is>
          <t>ок</t>
        </is>
      </c>
      <c r="G61" s="29" t="s">
        <v>554</v>
      </c>
      <c r="H61" s="29"/>
      <c r="I61" s="29"/>
      <c r="J61" s="29"/>
      <c r="K61" s="29"/>
      <c r="L61" s="29"/>
      <c r="M61" s="29"/>
      <c r="N61" s="33"/>
    </row>
    <row r="62">
      <c r="A62" s="26" t="s">
        <v>529</v>
      </c>
      <c r="B62" s="27" t="s">
        <v>530</v>
      </c>
      <c r="C62" s="28" t="s">
        <v>62</v>
      </c>
      <c r="D62" s="29" t="s">
        <v>531</v>
      </c>
      <c r="E62" s="35" t="inlineStr">
        <is>
          <t>Открыть HTML</t>
        </is>
      </c>
      <c r="F62" s="29" t="inlineStr">
        <is>
          <t>ок</t>
        </is>
      </c>
      <c r="G62" s="29" t="s">
        <v>554</v>
      </c>
      <c r="H62" s="29"/>
      <c r="I62" s="29"/>
      <c r="J62" s="29"/>
      <c r="K62" s="29"/>
      <c r="L62" s="29"/>
      <c r="M62" s="29"/>
      <c r="N62" s="33"/>
    </row>
    <row r="63">
      <c r="A63" s="26" t="s">
        <v>537</v>
      </c>
      <c r="B63" s="27" t="s">
        <v>538</v>
      </c>
      <c r="C63" s="28" t="s">
        <v>62</v>
      </c>
      <c r="D63" s="29" t="s">
        <v>539</v>
      </c>
      <c r="E63" s="35" t="inlineStr">
        <is>
          <t>Открыть HTML</t>
        </is>
      </c>
      <c r="F63" s="29" t="inlineStr">
        <is>
          <t>ок</t>
        </is>
      </c>
      <c r="G63" s="29" t="s">
        <v>610</v>
      </c>
      <c r="H63" s="29"/>
      <c r="I63" s="29"/>
      <c r="J63" s="29"/>
      <c r="K63" s="29"/>
      <c r="L63" s="29"/>
      <c r="M63" s="29"/>
      <c r="N63" s="33"/>
    </row>
    <row r="64">
      <c r="A64" s="26" t="s">
        <v>544</v>
      </c>
      <c r="B64" s="27" t="s">
        <v>545</v>
      </c>
      <c r="C64" s="28" t="s">
        <v>62</v>
      </c>
      <c r="D64" s="29" t="s">
        <v>547</v>
      </c>
      <c r="E64" s="35" t="inlineStr">
        <is>
          <t>Открыть HTML</t>
        </is>
      </c>
      <c r="F64" s="29" t="inlineStr">
        <is>
          <t>ок</t>
        </is>
      </c>
      <c r="G64" s="29" t="s">
        <v>610</v>
      </c>
      <c r="H64" s="29"/>
      <c r="I64" s="29"/>
      <c r="J64" s="29"/>
      <c r="K64" s="29"/>
      <c r="L64" s="29"/>
      <c r="M64" s="29"/>
      <c r="N64" s="33"/>
    </row>
    <row r="65">
      <c r="A65" s="26" t="s">
        <v>552</v>
      </c>
      <c r="B65" s="27" t="s">
        <v>553</v>
      </c>
      <c r="C65" s="28" t="s">
        <v>37</v>
      </c>
      <c r="D65" s="29" t="s">
        <v>555</v>
      </c>
      <c r="E65" s="35" t="inlineStr">
        <is>
          <t>Открыть HTML</t>
        </is>
      </c>
      <c r="F65" s="29" t="inlineStr">
        <is>
          <t>ок</t>
        </is>
      </c>
      <c r="G65" s="29" t="s">
        <v>610</v>
      </c>
      <c r="H65" s="29"/>
      <c r="I65" s="29"/>
      <c r="J65" s="29"/>
      <c r="K65" s="29"/>
      <c r="L65" s="29"/>
      <c r="M65" s="29"/>
      <c r="N65" s="33"/>
    </row>
    <row r="66">
      <c r="A66" s="26" t="s">
        <v>560</v>
      </c>
      <c r="B66" s="27" t="s">
        <v>182</v>
      </c>
      <c r="C66" s="28" t="s">
        <v>62</v>
      </c>
      <c r="D66" s="29" t="s">
        <v>561</v>
      </c>
      <c r="E66" s="35" t="inlineStr">
        <is>
          <t>Открыть HTML</t>
        </is>
      </c>
      <c r="F66" s="29" t="inlineStr">
        <is>
          <t>ок</t>
        </is>
      </c>
      <c r="G66" s="29" t="s">
        <v>610</v>
      </c>
      <c r="H66" s="29"/>
      <c r="I66" s="29"/>
      <c r="J66" s="29"/>
      <c r="K66" s="29"/>
      <c r="L66" s="29"/>
      <c r="M66" s="29"/>
      <c r="N66" s="33"/>
    </row>
    <row r="67">
      <c r="A67" s="26" t="s">
        <v>566</v>
      </c>
      <c r="B67" s="27" t="s">
        <v>567</v>
      </c>
      <c r="C67" s="28" t="s">
        <v>37</v>
      </c>
      <c r="D67" s="29" t="s">
        <v>568</v>
      </c>
      <c r="E67" s="35" t="inlineStr">
        <is>
          <t>Открыть HTML</t>
        </is>
      </c>
      <c r="F67" s="29" t="inlineStr">
        <is>
          <t>ок</t>
        </is>
      </c>
      <c r="G67" s="29" t="s">
        <v>610</v>
      </c>
      <c r="H67" s="29"/>
      <c r="I67" s="29"/>
      <c r="J67" s="29"/>
      <c r="K67" s="29"/>
      <c r="L67" s="29"/>
      <c r="M67" s="29"/>
      <c r="N67" s="44"/>
    </row>
    <row r="68">
      <c r="A68" s="26" t="s">
        <v>572</v>
      </c>
      <c r="B68" s="27" t="s">
        <v>295</v>
      </c>
      <c r="C68" s="28" t="s">
        <v>62</v>
      </c>
      <c r="D68" s="29" t="s">
        <v>573</v>
      </c>
      <c r="E68" s="35" t="inlineStr">
        <is>
          <t>Открыть HTML</t>
        </is>
      </c>
      <c r="F68" s="29" t="inlineStr">
        <is>
          <t>ок</t>
        </is>
      </c>
      <c r="G68" s="29" t="s">
        <v>610</v>
      </c>
      <c r="H68" s="29"/>
      <c r="I68" s="29"/>
      <c r="J68" s="29"/>
      <c r="K68" s="29"/>
      <c r="L68" s="29"/>
      <c r="M68" s="29"/>
      <c r="N68" s="33"/>
    </row>
    <row r="69">
      <c r="A69" s="26" t="s">
        <v>578</v>
      </c>
      <c r="B69" s="27" t="s">
        <v>579</v>
      </c>
      <c r="C69" s="28" t="s">
        <v>96</v>
      </c>
      <c r="D69" s="29" t="s">
        <v>580</v>
      </c>
      <c r="E69" s="35" t="inlineStr">
        <is>
          <t>Открыть HTML</t>
        </is>
      </c>
      <c r="F69" s="29" t="inlineStr">
        <is>
          <t>ок</t>
        </is>
      </c>
      <c r="G69" s="29" t="s">
        <v>610</v>
      </c>
      <c r="H69" s="29"/>
      <c r="I69" s="29"/>
      <c r="J69" s="29"/>
      <c r="K69" s="29"/>
      <c r="L69" s="29"/>
      <c r="M69" s="29"/>
      <c r="N69" s="33"/>
    </row>
    <row r="70">
      <c r="A70" s="26" t="s">
        <v>586</v>
      </c>
      <c r="B70" s="27" t="s">
        <v>182</v>
      </c>
      <c r="C70" s="28" t="s">
        <v>62</v>
      </c>
      <c r="D70" s="29" t="s">
        <v>587</v>
      </c>
      <c r="E70" s="35" t="inlineStr">
        <is>
          <t>Открыть HTML</t>
        </is>
      </c>
      <c r="F70" s="29" t="inlineStr">
        <is>
          <t>ок</t>
        </is>
      </c>
      <c r="G70" s="29" t="s">
        <v>610</v>
      </c>
      <c r="H70" s="29"/>
      <c r="I70" s="29"/>
      <c r="J70" s="29"/>
      <c r="K70" s="29"/>
      <c r="L70" s="29"/>
      <c r="M70" s="29"/>
      <c r="N70" s="33"/>
    </row>
    <row r="71">
      <c r="A71" s="26" t="s">
        <v>592</v>
      </c>
      <c r="B71" s="27" t="s">
        <v>593</v>
      </c>
      <c r="C71" s="28" t="s">
        <v>62</v>
      </c>
      <c r="D71" s="29" t="s">
        <v>594</v>
      </c>
      <c r="E71" s="35" t="inlineStr">
        <is>
          <t>Открыть HTML</t>
        </is>
      </c>
      <c r="F71" s="29" t="inlineStr">
        <is>
          <t>ок</t>
        </is>
      </c>
      <c r="G71" s="29" t="s">
        <v>610</v>
      </c>
      <c r="H71" s="29"/>
      <c r="I71" s="29"/>
      <c r="J71" s="29"/>
      <c r="K71" s="29"/>
      <c r="L71" s="29"/>
      <c r="M71" s="29"/>
      <c r="N71" s="33"/>
    </row>
    <row r="72">
      <c r="A72" s="26" t="s">
        <v>599</v>
      </c>
      <c r="B72" s="27" t="s">
        <v>120</v>
      </c>
      <c r="C72" s="28" t="s">
        <v>62</v>
      </c>
      <c r="D72" s="29" t="s">
        <v>600</v>
      </c>
      <c r="E72" s="35" t="inlineStr">
        <is>
          <t>Открыть HTML</t>
        </is>
      </c>
      <c r="F72" s="29" t="inlineStr">
        <is>
          <t>ок</t>
        </is>
      </c>
      <c r="G72" s="29" t="s">
        <v>610</v>
      </c>
      <c r="H72" s="29"/>
      <c r="I72" s="29"/>
      <c r="J72" s="29"/>
      <c r="K72" s="29"/>
      <c r="L72" s="29"/>
      <c r="M72" s="29"/>
      <c r="N72" s="33"/>
    </row>
    <row r="73">
      <c r="A73" s="26" t="s">
        <v>605</v>
      </c>
      <c r="B73" s="27" t="s">
        <v>182</v>
      </c>
      <c r="C73" s="28" t="s">
        <v>62</v>
      </c>
      <c r="D73" s="29" t="s">
        <v>606</v>
      </c>
      <c r="E73" s="35" t="inlineStr">
        <is>
          <t>Открыть HTML</t>
        </is>
      </c>
      <c r="F73" s="29" t="inlineStr">
        <is>
          <t>ок</t>
        </is>
      </c>
      <c r="G73" s="29" t="s">
        <v>695</v>
      </c>
      <c r="H73" s="29"/>
      <c r="I73" s="29"/>
      <c r="J73" s="29"/>
      <c r="K73" s="29"/>
      <c r="L73" s="29"/>
      <c r="M73" s="29"/>
      <c r="N73" s="33"/>
    </row>
    <row r="74">
      <c r="A74" s="26" t="s">
        <v>612</v>
      </c>
      <c r="B74" s="27" t="s">
        <v>613</v>
      </c>
      <c r="C74" s="28" t="s">
        <v>37</v>
      </c>
      <c r="D74" s="29" t="s">
        <v>614</v>
      </c>
      <c r="E74" s="35" t="inlineStr">
        <is>
          <t>Открыть HTML</t>
        </is>
      </c>
      <c r="F74" s="29" t="inlineStr">
        <is>
          <t>ок</t>
        </is>
      </c>
      <c r="G74" s="29" t="s">
        <v>695</v>
      </c>
      <c r="H74" s="29"/>
      <c r="I74" s="29"/>
      <c r="J74" s="29"/>
      <c r="K74" s="29"/>
      <c r="L74" s="29"/>
      <c r="M74" s="29"/>
      <c r="N74" s="33"/>
    </row>
    <row r="75">
      <c r="A75" s="26" t="s">
        <v>619</v>
      </c>
      <c r="B75" s="27" t="s">
        <v>620</v>
      </c>
      <c r="C75" s="28" t="s">
        <v>37</v>
      </c>
      <c r="D75" s="29" t="s">
        <v>621</v>
      </c>
      <c r="E75" s="35" t="inlineStr">
        <is>
          <t>Открыть HTML</t>
        </is>
      </c>
      <c r="F75" s="29" t="inlineStr">
        <is>
          <t>ок</t>
        </is>
      </c>
      <c r="G75" s="29" t="s">
        <v>695</v>
      </c>
      <c r="H75" s="29"/>
      <c r="I75" s="29"/>
      <c r="J75" s="29"/>
      <c r="K75" s="29"/>
      <c r="L75" s="29"/>
      <c r="M75" s="29"/>
      <c r="N75" s="33"/>
    </row>
    <row r="76">
      <c r="A76" s="26" t="s">
        <v>627</v>
      </c>
      <c r="B76" s="27" t="s">
        <v>628</v>
      </c>
      <c r="C76" s="28" t="s">
        <v>62</v>
      </c>
      <c r="D76" s="29" t="s">
        <v>629</v>
      </c>
      <c r="E76" s="35" t="inlineStr">
        <is>
          <t>Открыть HTML</t>
        </is>
      </c>
      <c r="F76" s="29" t="inlineStr">
        <is>
          <t>ок</t>
        </is>
      </c>
      <c r="G76" s="29" t="s">
        <v>695</v>
      </c>
      <c r="H76" s="29"/>
      <c r="I76" s="29"/>
      <c r="J76" s="29"/>
      <c r="K76" s="29"/>
      <c r="L76" s="29"/>
      <c r="M76" s="29"/>
      <c r="N76" s="33"/>
    </row>
    <row r="77">
      <c r="A77" s="26" t="s">
        <v>634</v>
      </c>
      <c r="B77" s="27" t="s">
        <v>322</v>
      </c>
      <c r="C77" s="28" t="s">
        <v>62</v>
      </c>
      <c r="D77" s="29" t="s">
        <v>635</v>
      </c>
      <c r="E77" s="35" t="inlineStr">
        <is>
          <t>Открыть HTML</t>
        </is>
      </c>
      <c r="F77" s="29" t="inlineStr">
        <is>
          <t>ок</t>
        </is>
      </c>
      <c r="G77" s="29" t="s">
        <v>695</v>
      </c>
      <c r="H77" s="29"/>
      <c r="I77" s="29"/>
      <c r="J77" s="29"/>
      <c r="K77" s="29"/>
      <c r="L77" s="29"/>
      <c r="M77" s="29"/>
      <c r="N77" s="33"/>
    </row>
    <row r="78">
      <c r="A78" s="26" t="s">
        <v>641</v>
      </c>
      <c r="B78" s="27" t="s">
        <v>642</v>
      </c>
      <c r="C78" s="28" t="s">
        <v>96</v>
      </c>
      <c r="D78" s="29" t="s">
        <v>643</v>
      </c>
      <c r="E78" s="35" t="inlineStr">
        <is>
          <t>Открыть HTML</t>
        </is>
      </c>
      <c r="F78" s="29" t="inlineStr">
        <is>
          <t>ок</t>
        </is>
      </c>
      <c r="G78" s="29" t="s">
        <v>695</v>
      </c>
      <c r="H78" s="29"/>
      <c r="I78" s="29"/>
      <c r="J78" s="29"/>
      <c r="K78" s="29"/>
      <c r="L78" s="29"/>
      <c r="M78" s="29"/>
      <c r="N78" s="33"/>
    </row>
    <row r="79">
      <c r="A79" s="26" t="s">
        <v>648</v>
      </c>
      <c r="B79" s="27" t="s">
        <v>649</v>
      </c>
      <c r="C79" s="28" t="s">
        <v>37</v>
      </c>
      <c r="D79" s="29" t="s">
        <v>650</v>
      </c>
      <c r="E79" s="32" t="inlineStr">
        <is>
          <t>Открыть HTML</t>
        </is>
      </c>
      <c r="F79" s="29" t="inlineStr">
        <is>
          <t>ок</t>
        </is>
      </c>
      <c r="G79" s="29" t="s">
        <v>695</v>
      </c>
      <c r="H79" s="29"/>
      <c r="I79" s="29"/>
      <c r="J79" s="29"/>
      <c r="K79" s="29"/>
      <c r="L79" s="29"/>
      <c r="M79" s="29"/>
      <c r="N79" s="33"/>
    </row>
    <row r="80">
      <c r="A80" s="26" t="s">
        <v>655</v>
      </c>
      <c r="B80" s="27" t="s">
        <v>182</v>
      </c>
      <c r="C80" s="28" t="s">
        <v>62</v>
      </c>
      <c r="D80" s="29" t="s">
        <v>656</v>
      </c>
      <c r="E80" s="35" t="inlineStr">
        <is>
          <t>Открыть HTML</t>
        </is>
      </c>
      <c r="F80" s="29" t="inlineStr">
        <is>
          <t>ок</t>
        </is>
      </c>
      <c r="G80" s="29" t="s">
        <v>695</v>
      </c>
      <c r="H80" s="29"/>
      <c r="I80" s="29"/>
      <c r="J80" s="29"/>
      <c r="K80" s="29"/>
      <c r="L80" s="29"/>
      <c r="M80" s="29"/>
      <c r="N80" s="33"/>
    </row>
    <row r="81">
      <c r="A81" s="26" t="s">
        <v>661</v>
      </c>
      <c r="B81" s="27" t="s">
        <v>662</v>
      </c>
      <c r="C81" s="28" t="s">
        <v>62</v>
      </c>
      <c r="D81" s="29" t="s">
        <v>663</v>
      </c>
      <c r="E81" s="35" t="inlineStr">
        <is>
          <t>Открыть HTML</t>
        </is>
      </c>
      <c r="F81" s="29" t="inlineStr">
        <is>
          <t>ок</t>
        </is>
      </c>
      <c r="G81" s="29" t="s">
        <v>695</v>
      </c>
      <c r="H81" s="29"/>
      <c r="I81" s="29"/>
      <c r="J81" s="29"/>
      <c r="K81" s="29"/>
      <c r="L81" s="29"/>
      <c r="M81" s="29"/>
      <c r="N81" s="33"/>
    </row>
    <row r="82">
      <c r="A82" s="26" t="s">
        <v>668</v>
      </c>
      <c r="B82" s="27" t="s">
        <v>669</v>
      </c>
      <c r="C82" s="28" t="s">
        <v>62</v>
      </c>
      <c r="D82" s="29" t="s">
        <v>670</v>
      </c>
      <c r="E82" s="35" t="inlineStr">
        <is>
          <t>Открыть HTML</t>
        </is>
      </c>
      <c r="F82" s="29" t="inlineStr">
        <is>
          <t>ок</t>
        </is>
      </c>
      <c r="G82" s="29" t="s">
        <v>695</v>
      </c>
      <c r="H82" s="29"/>
      <c r="I82" s="29"/>
      <c r="J82" s="29"/>
      <c r="K82" s="29"/>
      <c r="L82" s="29"/>
      <c r="M82" s="29"/>
      <c r="N82" s="33"/>
    </row>
    <row r="83">
      <c r="A83" s="26" t="s">
        <v>676</v>
      </c>
      <c r="B83" s="27" t="s">
        <v>677</v>
      </c>
      <c r="C83" s="28" t="s">
        <v>37</v>
      </c>
      <c r="D83" s="29" t="s">
        <v>678</v>
      </c>
      <c r="E83" s="35" t="inlineStr">
        <is>
          <t>Открыть HTML</t>
        </is>
      </c>
      <c r="F83" s="29" t="inlineStr">
        <is>
          <t>ок</t>
        </is>
      </c>
      <c r="G83" s="29" t="s">
        <v>775</v>
      </c>
      <c r="H83" s="29"/>
      <c r="I83" s="29"/>
      <c r="J83" s="29"/>
      <c r="K83" s="29"/>
      <c r="L83" s="29"/>
      <c r="M83" s="29"/>
      <c r="N83" s="33"/>
    </row>
    <row r="84">
      <c r="A84" s="26" t="s">
        <v>683</v>
      </c>
      <c r="B84" s="27" t="s">
        <v>329</v>
      </c>
      <c r="C84" s="28" t="s">
        <v>62</v>
      </c>
      <c r="D84" s="29" t="s">
        <v>684</v>
      </c>
      <c r="E84" s="35" t="inlineStr">
        <is>
          <t>Открыть HTML</t>
        </is>
      </c>
      <c r="F84" s="29" t="inlineStr">
        <is>
          <t>ок</t>
        </is>
      </c>
      <c r="G84" s="29" t="s">
        <v>775</v>
      </c>
      <c r="H84" s="29"/>
      <c r="I84" s="29"/>
      <c r="J84" s="29"/>
      <c r="K84" s="29"/>
      <c r="L84" s="29"/>
      <c r="M84" s="29"/>
      <c r="N84" s="33"/>
    </row>
    <row r="85">
      <c r="A85" s="26" t="s">
        <v>690</v>
      </c>
      <c r="B85" s="27" t="s">
        <v>36</v>
      </c>
      <c r="C85" s="28" t="s">
        <v>62</v>
      </c>
      <c r="D85" s="29" t="s">
        <v>691</v>
      </c>
      <c r="E85" s="35" t="inlineStr">
        <is>
          <t>Открыть HTML</t>
        </is>
      </c>
      <c r="F85" s="29" t="inlineStr">
        <is>
          <t>ок</t>
        </is>
      </c>
      <c r="G85" s="29" t="s">
        <v>775</v>
      </c>
      <c r="H85" s="29"/>
      <c r="I85" s="29"/>
      <c r="J85" s="29"/>
      <c r="K85" s="29"/>
      <c r="L85" s="29"/>
      <c r="M85" s="29"/>
      <c r="N85" s="33"/>
    </row>
    <row r="86">
      <c r="A86" s="26" t="s">
        <v>697</v>
      </c>
      <c r="B86" s="27" t="s">
        <v>530</v>
      </c>
      <c r="C86" s="28" t="s">
        <v>37</v>
      </c>
      <c r="D86" s="29" t="s">
        <v>698</v>
      </c>
      <c r="E86" s="35" t="inlineStr">
        <is>
          <t>Открыть HTML</t>
        </is>
      </c>
      <c r="F86" s="29" t="inlineStr">
        <is>
          <t>ок</t>
        </is>
      </c>
      <c r="G86" s="29" t="s">
        <v>775</v>
      </c>
      <c r="H86" s="29"/>
      <c r="I86" s="29"/>
      <c r="J86" s="29"/>
      <c r="K86" s="29"/>
      <c r="L86" s="29"/>
      <c r="M86" s="29"/>
      <c r="N86" s="33"/>
    </row>
    <row r="87">
      <c r="A87" s="26" t="s">
        <v>703</v>
      </c>
      <c r="B87" s="27" t="s">
        <v>95</v>
      </c>
      <c r="C87" s="28" t="s">
        <v>62</v>
      </c>
      <c r="D87" s="29" t="s">
        <v>705</v>
      </c>
      <c r="E87" s="35" t="inlineStr">
        <is>
          <t>Открыть HTML</t>
        </is>
      </c>
      <c r="F87" s="29" t="inlineStr">
        <is>
          <t>ок</t>
        </is>
      </c>
      <c r="G87" s="29" t="s">
        <v>775</v>
      </c>
      <c r="H87" s="29"/>
      <c r="I87" s="29"/>
      <c r="J87" s="29"/>
      <c r="K87" s="29"/>
      <c r="L87" s="29"/>
      <c r="M87" s="29"/>
      <c r="N87" s="33"/>
    </row>
    <row r="88">
      <c r="A88" s="26" t="s">
        <v>710</v>
      </c>
      <c r="B88" s="27" t="s">
        <v>182</v>
      </c>
      <c r="C88" s="28" t="s">
        <v>37</v>
      </c>
      <c r="D88" s="29" t="s">
        <v>711</v>
      </c>
      <c r="E88" s="35" t="inlineStr">
        <is>
          <t>Открыть HTML</t>
        </is>
      </c>
      <c r="F88" s="29" t="inlineStr">
        <is>
          <t>ок</t>
        </is>
      </c>
      <c r="G88" s="29" t="s">
        <v>775</v>
      </c>
      <c r="H88" s="29"/>
      <c r="I88" s="29"/>
      <c r="J88" s="29"/>
      <c r="K88" s="29"/>
      <c r="L88" s="29"/>
      <c r="M88" s="29"/>
      <c r="N88" s="33"/>
    </row>
    <row r="89">
      <c r="A89" s="26" t="s">
        <v>716</v>
      </c>
      <c r="B89" s="27" t="s">
        <v>120</v>
      </c>
      <c r="C89" s="28" t="s">
        <v>62</v>
      </c>
      <c r="D89" s="29" t="s">
        <v>717</v>
      </c>
      <c r="E89" s="32" t="inlineStr">
        <is>
          <t>Открыть HTML</t>
        </is>
      </c>
      <c r="F89" s="29" t="inlineStr">
        <is>
          <t>ок</t>
        </is>
      </c>
      <c r="G89" s="29" t="s">
        <v>775</v>
      </c>
      <c r="H89" s="29"/>
      <c r="I89" s="29"/>
      <c r="J89" s="29"/>
      <c r="K89" s="29"/>
      <c r="L89" s="29"/>
      <c r="M89" s="29"/>
      <c r="N89" s="33"/>
    </row>
    <row r="90">
      <c r="A90" s="26" t="s">
        <v>723</v>
      </c>
      <c r="B90" s="27" t="s">
        <v>724</v>
      </c>
      <c r="C90" s="28" t="s">
        <v>37</v>
      </c>
      <c r="D90" s="29" t="s">
        <v>725</v>
      </c>
      <c r="E90" s="32" t="inlineStr">
        <is>
          <t>Открыть HTML</t>
        </is>
      </c>
      <c r="F90" s="29" t="inlineStr">
        <is>
          <t>ок</t>
        </is>
      </c>
      <c r="G90" s="29" t="s">
        <v>775</v>
      </c>
      <c r="H90" s="29"/>
      <c r="I90" s="29"/>
      <c r="J90" s="29"/>
      <c r="K90" s="29"/>
      <c r="L90" s="29"/>
      <c r="M90" s="29"/>
      <c r="N90" s="33"/>
    </row>
    <row r="91">
      <c r="A91" s="26" t="s">
        <v>730</v>
      </c>
      <c r="B91" s="27" t="s">
        <v>445</v>
      </c>
      <c r="C91" s="28" t="s">
        <v>62</v>
      </c>
      <c r="D91" s="29" t="s">
        <v>731</v>
      </c>
      <c r="E91" s="32" t="inlineStr">
        <is>
          <t>Открыть HTML</t>
        </is>
      </c>
      <c r="F91" s="29" t="inlineStr">
        <is>
          <t>ок</t>
        </is>
      </c>
      <c r="G91" s="29" t="s">
        <v>775</v>
      </c>
      <c r="H91" s="29"/>
      <c r="I91" s="29"/>
      <c r="J91" s="29"/>
      <c r="K91" s="29"/>
      <c r="L91" s="29"/>
      <c r="M91" s="29"/>
      <c r="N91" s="33"/>
    </row>
    <row r="92">
      <c r="A92" s="26" t="s">
        <v>737</v>
      </c>
      <c r="B92" s="27" t="s">
        <v>738</v>
      </c>
      <c r="C92" s="28" t="s">
        <v>62</v>
      </c>
      <c r="D92" s="29" t="s">
        <v>739</v>
      </c>
      <c r="E92" s="32" t="inlineStr">
        <is>
          <t>Открыть HTML</t>
        </is>
      </c>
      <c r="F92" s="29" t="inlineStr">
        <is>
          <t>ок</t>
        </is>
      </c>
      <c r="G92" s="47" t="s">
        <v>775</v>
      </c>
      <c r="H92" s="29"/>
      <c r="I92" s="29"/>
      <c r="J92" s="29"/>
      <c r="K92" s="29"/>
      <c r="L92" s="29"/>
      <c r="M92" s="29"/>
      <c r="N92" s="33"/>
    </row>
    <row r="93">
      <c r="A93" s="26" t="s">
        <v>745</v>
      </c>
      <c r="B93" s="27" t="s">
        <v>176</v>
      </c>
      <c r="C93" s="28" t="s">
        <v>37</v>
      </c>
      <c r="D93" s="29" t="s">
        <v>746</v>
      </c>
      <c r="E93" s="32" t="inlineStr">
        <is>
          <t>Открыть HTML</t>
        </is>
      </c>
      <c r="F93" s="29" t="inlineStr">
        <is>
          <t>ок</t>
        </is>
      </c>
      <c r="G93" s="47" t="s">
        <v>818</v>
      </c>
      <c r="H93" s="29"/>
      <c r="I93" s="29"/>
      <c r="J93" s="29"/>
      <c r="K93" s="29"/>
      <c r="L93" s="29"/>
      <c r="M93" s="29"/>
      <c r="N93" s="33"/>
    </row>
    <row r="94">
      <c r="A94" s="26" t="s">
        <v>752</v>
      </c>
      <c r="B94" s="27" t="s">
        <v>229</v>
      </c>
      <c r="C94" s="28" t="s">
        <v>96</v>
      </c>
      <c r="D94" s="29" t="s">
        <v>753</v>
      </c>
      <c r="E94" s="32" t="inlineStr">
        <is>
          <t>Открыть HTML</t>
        </is>
      </c>
      <c r="F94" s="29" t="inlineStr">
        <is>
          <t>ок</t>
        </is>
      </c>
      <c r="G94" s="47" t="s">
        <v>818</v>
      </c>
      <c r="H94" s="29"/>
      <c r="I94" s="29"/>
      <c r="J94" s="29"/>
      <c r="K94" s="29"/>
      <c r="L94" s="29"/>
      <c r="M94" s="29"/>
      <c r="N94" s="33"/>
    </row>
    <row r="95">
      <c r="A95" s="26" t="s">
        <v>758</v>
      </c>
      <c r="B95" s="27" t="s">
        <v>530</v>
      </c>
      <c r="C95" s="28" t="s">
        <v>62</v>
      </c>
      <c r="D95" s="29" t="s">
        <v>759</v>
      </c>
      <c r="E95" s="32" t="inlineStr">
        <is>
          <t>Открыть HTML</t>
        </is>
      </c>
      <c r="F95" s="29" t="inlineStr">
        <is>
          <t>ок</t>
        </is>
      </c>
      <c r="G95" s="47" t="s">
        <v>818</v>
      </c>
      <c r="H95" s="29"/>
      <c r="I95" s="29"/>
      <c r="J95" s="29"/>
      <c r="K95" s="29"/>
      <c r="L95" s="29"/>
      <c r="M95" s="29"/>
      <c r="N95" s="33"/>
    </row>
    <row r="96">
      <c r="A96" s="26" t="s">
        <v>765</v>
      </c>
      <c r="B96" s="27" t="s">
        <v>766</v>
      </c>
      <c r="C96" s="28" t="s">
        <v>37</v>
      </c>
      <c r="D96" s="29" t="s">
        <v>767</v>
      </c>
      <c r="E96" s="32" t="inlineStr">
        <is>
          <t>Открыть HTML</t>
        </is>
      </c>
      <c r="F96" s="29" t="inlineStr">
        <is>
          <t>ок</t>
        </is>
      </c>
      <c r="G96" s="47" t="s">
        <v>818</v>
      </c>
      <c r="H96" s="29"/>
      <c r="I96" s="29"/>
      <c r="J96" s="29"/>
      <c r="K96" s="29"/>
      <c r="L96" s="29"/>
      <c r="M96" s="29"/>
      <c r="N96" s="33"/>
    </row>
    <row r="97">
      <c r="A97" s="26" t="s">
        <v>772</v>
      </c>
      <c r="B97" s="27" t="s">
        <v>132</v>
      </c>
      <c r="C97" s="28" t="s">
        <v>62</v>
      </c>
      <c r="D97" s="29" t="s">
        <v>773</v>
      </c>
      <c r="E97" s="32" t="inlineStr">
        <is>
          <t>Открыть HTML</t>
        </is>
      </c>
      <c r="F97" s="29" t="inlineStr">
        <is>
          <t>ок</t>
        </is>
      </c>
      <c r="G97" s="47" t="s">
        <v>818</v>
      </c>
      <c r="H97" s="29"/>
      <c r="I97" s="29"/>
      <c r="J97" s="29"/>
      <c r="K97" s="29"/>
      <c r="L97" s="29"/>
      <c r="M97" s="29"/>
      <c r="N97" s="33"/>
    </row>
    <row r="98">
      <c r="A98" s="26" t="s">
        <v>780</v>
      </c>
      <c r="B98" s="27" t="s">
        <v>781</v>
      </c>
      <c r="C98" s="28" t="s">
        <v>62</v>
      </c>
      <c r="D98" s="29" t="s">
        <v>782</v>
      </c>
      <c r="E98" s="32" t="inlineStr">
        <is>
          <t>Открыть HTML</t>
        </is>
      </c>
      <c r="F98" s="29" t="inlineStr">
        <is>
          <t>ок</t>
        </is>
      </c>
      <c r="G98" s="47" t="s">
        <v>818</v>
      </c>
      <c r="H98" s="29"/>
      <c r="I98" s="29"/>
      <c r="J98" s="29"/>
      <c r="K98" s="29"/>
      <c r="L98" s="29"/>
      <c r="M98" s="29"/>
      <c r="N98" s="33"/>
    </row>
    <row r="99">
      <c r="A99" s="26" t="s">
        <v>787</v>
      </c>
      <c r="B99" s="27" t="s">
        <v>530</v>
      </c>
      <c r="C99" s="28" t="s">
        <v>62</v>
      </c>
      <c r="D99" s="29" t="s">
        <v>788</v>
      </c>
      <c r="E99" s="32" t="inlineStr">
        <is>
          <t>Открыть HTML</t>
        </is>
      </c>
      <c r="F99" s="29" t="inlineStr">
        <is>
          <t>ок</t>
        </is>
      </c>
      <c r="G99" s="47" t="s">
        <v>818</v>
      </c>
      <c r="H99" s="29"/>
      <c r="I99" s="29"/>
      <c r="J99" s="29"/>
      <c r="K99" s="29"/>
      <c r="L99" s="29"/>
      <c r="M99" s="29"/>
      <c r="N99" s="33"/>
    </row>
    <row r="100">
      <c r="A100" s="26" t="s">
        <v>793</v>
      </c>
      <c r="B100" s="27" t="s">
        <v>677</v>
      </c>
      <c r="C100" s="28" t="s">
        <v>62</v>
      </c>
      <c r="D100" s="29" t="s">
        <v>795</v>
      </c>
      <c r="E100" s="32" t="inlineStr">
        <is>
          <t>Открыть HTML</t>
        </is>
      </c>
      <c r="F100" s="29" t="inlineStr">
        <is>
          <t>ок</t>
        </is>
      </c>
      <c r="G100" s="47" t="s">
        <v>818</v>
      </c>
      <c r="H100" s="29"/>
      <c r="I100" s="29"/>
      <c r="J100" s="29"/>
      <c r="K100" s="29"/>
      <c r="L100" s="29"/>
      <c r="M100" s="29"/>
      <c r="N100" s="33"/>
    </row>
    <row r="101">
      <c r="A101" s="26" t="s">
        <v>800</v>
      </c>
      <c r="B101" s="27" t="s">
        <v>120</v>
      </c>
      <c r="C101" s="28" t="s">
        <v>62</v>
      </c>
      <c r="D101" s="29" t="s">
        <v>801</v>
      </c>
      <c r="E101" s="32" t="inlineStr">
        <is>
          <t>Открыть HTML</t>
        </is>
      </c>
      <c r="F101" s="29" t="inlineStr">
        <is>
          <t>ок</t>
        </is>
      </c>
      <c r="G101" s="47" t="s">
        <v>818</v>
      </c>
      <c r="H101" s="29"/>
      <c r="I101" s="29"/>
      <c r="J101" s="29"/>
      <c r="K101" s="29"/>
      <c r="L101" s="29"/>
      <c r="M101" s="29"/>
      <c r="N101" s="33"/>
    </row>
    <row r="102">
      <c r="A102" s="48" t="s">
        <v>806</v>
      </c>
      <c r="B102" s="49" t="s">
        <v>229</v>
      </c>
      <c r="C102" s="50" t="s">
        <v>96</v>
      </c>
      <c r="D102" s="47" t="s">
        <v>807</v>
      </c>
      <c r="E102" s="51" t="inlineStr">
        <is>
          <t>Открыть HTML</t>
        </is>
      </c>
      <c r="F102" s="47" t="inlineStr">
        <is>
          <t>ок</t>
        </is>
      </c>
      <c r="G102" s="47" t="s">
        <v>818</v>
      </c>
      <c r="H102" s="47"/>
      <c r="I102" s="47"/>
      <c r="J102" s="47"/>
      <c r="K102" s="47"/>
      <c r="L102" s="47"/>
      <c r="M102" s="47"/>
      <c r="N102" s="52"/>
    </row>
  </sheetData>
  <mergeCells count="3">
    <mergeCell ref="B1:D1"/>
    <mergeCell ref="E1:F1"/>
    <mergeCell ref="G1:N1"/>
  </mergeCells>
  <dataValidations>
    <dataValidation type="list" allowBlank="1" showErrorMessage="1" sqref="I3:I102">
      <formula1>"Yandex 04.10,Ничья,Yandex 12.10"</formula1>
    </dataValidation>
    <dataValidation type="list" allowBlank="1" showErrorMessage="1" sqref="M3:M102">
      <formula1>"нет,только 04.10,только 12.10,у обоих серпов"</formula1>
    </dataValidation>
    <dataValidation type="list" allowBlank="1" showErrorMessage="1" sqref="J3:K102">
      <formula1>"1,2,3,4,5"</formula1>
    </dataValidation>
    <dataValidation type="list" allowBlank="1" showErrorMessage="1" sqref="H3:H102 L3:L102">
      <formula1>"Да,Нет"</formula1>
    </dataValidation>
  </dataValidations>
  <hyperlinks>
    <hyperlink ref="E3" r:id="rIdSnapshot3"/>
    <hyperlink ref="E4" r:id="rIdSnapshot4"/>
    <hyperlink ref="E5" r:id="rIdSnapshot5"/>
    <hyperlink ref="E6" r:id="rIdSnapshot6"/>
    <hyperlink ref="E7" r:id="rIdSnapshot7"/>
    <hyperlink ref="E8" r:id="rIdSnapshot8"/>
    <hyperlink ref="E9" r:id="rIdSnapshot9"/>
    <hyperlink ref="E10" r:id="rIdSnapshot10"/>
    <hyperlink ref="E11" r:id="rIdSnapshot11"/>
    <hyperlink ref="E12" r:id="rIdSnapshot12"/>
    <hyperlink ref="E13" r:id="rIdSnapshot13"/>
    <hyperlink ref="E14" r:id="rIdSnapshot14"/>
    <hyperlink ref="E15" r:id="rIdSnapshot15"/>
    <hyperlink ref="E16" r:id="rIdSnapshot16"/>
    <hyperlink ref="E17" r:id="rIdSnapshot17"/>
    <hyperlink ref="E18" r:id="rIdSnapshot18"/>
    <hyperlink ref="E19" r:id="rIdSnapshot19"/>
    <hyperlink ref="E20" r:id="rIdSnapshot20"/>
    <hyperlink ref="E21" r:id="rIdSnapshot21"/>
    <hyperlink ref="E22" r:id="rIdSnapshot22"/>
    <hyperlink ref="E23" r:id="rIdSnapshot23"/>
    <hyperlink ref="E24" r:id="rIdSnapshot24"/>
    <hyperlink ref="E25" r:id="rIdSnapshot25"/>
    <hyperlink ref="E26" r:id="rIdSnapshot26"/>
    <hyperlink ref="E27" r:id="rIdSnapshot27"/>
    <hyperlink ref="E28" r:id="rIdSnapshot28"/>
    <hyperlink ref="E29" r:id="rIdSnapshot29"/>
    <hyperlink ref="E30" r:id="rIdSnapshot30"/>
    <hyperlink ref="E31" r:id="rIdSnapshot31"/>
    <hyperlink ref="E32" r:id="rIdSnapshot32"/>
    <hyperlink ref="E33" r:id="rIdSnapshot33"/>
    <hyperlink ref="E34" r:id="rIdSnapshot34"/>
    <hyperlink ref="E35" r:id="rIdSnapshot35"/>
    <hyperlink ref="E36" r:id="rIdSnapshot36"/>
    <hyperlink ref="E37" r:id="rIdSnapshot37"/>
    <hyperlink ref="E38" r:id="rIdSnapshot38"/>
    <hyperlink ref="E39" r:id="rIdSnapshot39"/>
    <hyperlink ref="E40" r:id="rIdSnapshot40"/>
    <hyperlink ref="E41" r:id="rIdSnapshot41"/>
    <hyperlink ref="E42" r:id="rIdSnapshot42"/>
    <hyperlink ref="E43" r:id="rIdSnapshot43"/>
    <hyperlink ref="E44" r:id="rIdSnapshot44"/>
    <hyperlink ref="E45" r:id="rIdSnapshot45"/>
    <hyperlink ref="E46" r:id="rIdSnapshot46"/>
    <hyperlink ref="E47" r:id="rIdSnapshot47"/>
    <hyperlink ref="E48" r:id="rIdSnapshot48"/>
    <hyperlink ref="E49" r:id="rIdSnapshot49"/>
    <hyperlink ref="E50" r:id="rIdSnapshot50"/>
    <hyperlink ref="E51" r:id="rIdSnapshot51"/>
    <hyperlink ref="E52" r:id="rIdSnapshot52"/>
    <hyperlink ref="E53" r:id="rIdSnapshot53"/>
    <hyperlink ref="E54" r:id="rIdSnapshot54"/>
    <hyperlink ref="E55" r:id="rIdSnapshot55"/>
    <hyperlink ref="E56" r:id="rIdSnapshot56"/>
    <hyperlink ref="E57" r:id="rIdSnapshot57"/>
    <hyperlink ref="E58" r:id="rIdSnapshot58"/>
    <hyperlink ref="E59" r:id="rIdSnapshot59"/>
    <hyperlink ref="E60" r:id="rIdSnapshot60"/>
    <hyperlink ref="E61" r:id="rIdSnapshot61"/>
    <hyperlink ref="E62" r:id="rIdSnapshot62"/>
    <hyperlink ref="E63" r:id="rIdSnapshot63"/>
    <hyperlink ref="E64" r:id="rIdSnapshot64"/>
    <hyperlink ref="E65" r:id="rIdSnapshot65"/>
    <hyperlink ref="E66" r:id="rIdSnapshot66"/>
    <hyperlink ref="E67" r:id="rIdSnapshot67"/>
    <hyperlink ref="E68" r:id="rIdSnapshot68"/>
    <hyperlink ref="E69" r:id="rIdSnapshot69"/>
    <hyperlink ref="E70" r:id="rIdSnapshot70"/>
    <hyperlink ref="E71" r:id="rIdSnapshot71"/>
    <hyperlink ref="E72" r:id="rIdSnapshot72"/>
    <hyperlink ref="E73" r:id="rIdSnapshot73"/>
    <hyperlink ref="E74" r:id="rIdSnapshot74"/>
    <hyperlink ref="E75" r:id="rIdSnapshot75"/>
    <hyperlink ref="E76" r:id="rIdSnapshot76"/>
    <hyperlink ref="E77" r:id="rIdSnapshot77"/>
    <hyperlink ref="E78" r:id="rIdSnapshot78"/>
    <hyperlink ref="E79" r:id="rIdSnapshot79"/>
    <hyperlink ref="E80" r:id="rIdSnapshot80"/>
    <hyperlink ref="E81" r:id="rIdSnapshot81"/>
    <hyperlink ref="E82" r:id="rIdSnapshot82"/>
    <hyperlink ref="E83" r:id="rIdSnapshot83"/>
    <hyperlink ref="E84" r:id="rIdSnapshot84"/>
    <hyperlink ref="E85" r:id="rIdSnapshot85"/>
    <hyperlink ref="E86" r:id="rIdSnapshot86"/>
    <hyperlink ref="E87" r:id="rIdSnapshot87"/>
    <hyperlink ref="E88" r:id="rIdSnapshot88"/>
    <hyperlink ref="E89" r:id="rIdSnapshot89"/>
    <hyperlink ref="E90" r:id="rIdSnapshot90"/>
    <hyperlink ref="E91" r:id="rIdSnapshot91"/>
    <hyperlink ref="E92" r:id="rIdSnapshot92"/>
    <hyperlink ref="E93" r:id="rIdSnapshot93"/>
    <hyperlink ref="E94" r:id="rIdSnapshot94"/>
    <hyperlink ref="E95" r:id="rIdSnapshot95"/>
    <hyperlink ref="E96" r:id="rIdSnapshot96"/>
    <hyperlink ref="E97" r:id="rIdSnapshot97"/>
    <hyperlink ref="E98" r:id="rIdSnapshot98"/>
    <hyperlink ref="E99" r:id="rIdSnapshot99"/>
    <hyperlink ref="E100" r:id="rIdSnapshot100"/>
    <hyperlink ref="E101" r:id="rIdSnapshot101"/>
    <hyperlink ref="E102" r:id="rIdSnapshot102"/>
  </hyperlinks>
  <drawing r:id="rId151"/>
</worksheet>
</file>